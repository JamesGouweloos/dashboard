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ostess\Desktop\DAILY STUFF\"/>
    </mc:Choice>
  </mc:AlternateContent>
  <xr:revisionPtr revIDLastSave="0" documentId="13_ncr:1_{B6056F26-F0C9-4D6A-B71D-CA69201C8299}" xr6:coauthVersionLast="47" xr6:coauthVersionMax="47" xr10:uidLastSave="{00000000-0000-0000-0000-000000000000}"/>
  <bookViews>
    <workbookView xWindow="30" yWindow="30" windowWidth="20460" windowHeight="10890" xr2:uid="{4C510618-D4CA-4BA0-83B1-3B92E873A5A3}"/>
  </bookViews>
  <sheets>
    <sheet name="Data" sheetId="2" r:id="rId1"/>
    <sheet name="Summary" sheetId="5" r:id="rId2"/>
    <sheet name="Sheet1" sheetId="6" state="hidden" r:id="rId3"/>
    <sheet name="Sheet1 (2)"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C6" i="5" l="1"/>
  <c r="D6" i="5"/>
  <c r="E6" i="5"/>
  <c r="F6" i="5"/>
  <c r="G6" i="5"/>
  <c r="C5" i="5"/>
  <c r="D5" i="5"/>
  <c r="E5" i="5"/>
  <c r="F5" i="5"/>
  <c r="G5" i="5"/>
  <c r="C4" i="5"/>
  <c r="D4" i="5"/>
  <c r="E4" i="5"/>
  <c r="F4" i="5"/>
  <c r="G4" i="5"/>
  <c r="C3" i="5"/>
  <c r="D3" i="5"/>
  <c r="E3" i="5"/>
  <c r="F3" i="5"/>
  <c r="G3" i="5"/>
  <c r="B6" i="5"/>
  <c r="B5" i="5"/>
  <c r="B4" i="5"/>
  <c r="B3" i="5"/>
  <c r="AG13" i="7" l="1"/>
  <c r="AG12" i="7"/>
  <c r="AG11" i="7"/>
  <c r="AG10" i="7"/>
  <c r="AG9" i="7"/>
  <c r="AG8" i="7"/>
  <c r="AL13" i="7" l="1"/>
  <c r="AL12" i="7"/>
  <c r="AL11" i="7"/>
  <c r="AL10" i="7"/>
  <c r="AL9" i="7"/>
  <c r="AL8" i="7"/>
  <c r="W8" i="7"/>
  <c r="W9" i="7"/>
  <c r="W10" i="7"/>
  <c r="W11" i="7"/>
  <c r="O8" i="7"/>
  <c r="N8" i="7"/>
  <c r="K8" i="7"/>
  <c r="J8" i="7"/>
  <c r="I8" i="7"/>
  <c r="H8" i="7"/>
  <c r="E8" i="7"/>
  <c r="D8" i="7"/>
  <c r="C8" i="7"/>
  <c r="B8" i="7"/>
  <c r="B22" i="7" s="1"/>
  <c r="AC13" i="7"/>
  <c r="AC12" i="7"/>
  <c r="AC26" i="7" s="1"/>
  <c r="AC11" i="7"/>
  <c r="AC10" i="7"/>
  <c r="AC9" i="7"/>
  <c r="AC8" i="7"/>
  <c r="Z13" i="7"/>
  <c r="W13" i="7"/>
  <c r="AB13" i="7"/>
  <c r="AA13" i="7"/>
  <c r="AJ12" i="7"/>
  <c r="AI12" i="7"/>
  <c r="AI26" i="7" s="1"/>
  <c r="AH12" i="7"/>
  <c r="AB12" i="7"/>
  <c r="AB26" i="7" s="1"/>
  <c r="AA12" i="7"/>
  <c r="Z12" i="7"/>
  <c r="W12" i="7"/>
  <c r="V12" i="7"/>
  <c r="V26" i="7" s="1"/>
  <c r="U12" i="7"/>
  <c r="U26" i="7" s="1"/>
  <c r="T12" i="7"/>
  <c r="Q12" i="7"/>
  <c r="P12" i="7"/>
  <c r="P26" i="7" s="1"/>
  <c r="O12" i="7"/>
  <c r="O26" i="7" s="1"/>
  <c r="N12" i="7"/>
  <c r="K12" i="7"/>
  <c r="J12" i="7"/>
  <c r="I12" i="7"/>
  <c r="H12" i="7"/>
  <c r="E12" i="7"/>
  <c r="D12" i="7"/>
  <c r="C12" i="7"/>
  <c r="B12" i="7"/>
  <c r="AJ13" i="7"/>
  <c r="AI13" i="7"/>
  <c r="AH13" i="7"/>
  <c r="V13" i="7"/>
  <c r="U13" i="7"/>
  <c r="U27" i="7" s="1"/>
  <c r="T13" i="7"/>
  <c r="Q13" i="7"/>
  <c r="P13" i="7"/>
  <c r="O13" i="7"/>
  <c r="O27" i="7" s="1"/>
  <c r="N13" i="7"/>
  <c r="K13" i="7"/>
  <c r="J13" i="7"/>
  <c r="J27" i="7" s="1"/>
  <c r="I13" i="7"/>
  <c r="H13" i="7"/>
  <c r="E13" i="7"/>
  <c r="D13" i="7"/>
  <c r="D27" i="7" s="1"/>
  <c r="C13" i="7"/>
  <c r="B13" i="7"/>
  <c r="AJ11" i="7"/>
  <c r="AI11" i="7"/>
  <c r="AI25" i="7" s="1"/>
  <c r="AH11" i="7"/>
  <c r="AB11" i="7"/>
  <c r="AA11" i="7"/>
  <c r="Z11" i="7"/>
  <c r="V11" i="7"/>
  <c r="U11" i="7"/>
  <c r="T11" i="7"/>
  <c r="Q11" i="7"/>
  <c r="P11" i="7"/>
  <c r="O11" i="7"/>
  <c r="N11" i="7"/>
  <c r="K11" i="7"/>
  <c r="J11" i="7"/>
  <c r="I11" i="7"/>
  <c r="H11" i="7"/>
  <c r="E11" i="7"/>
  <c r="D11" i="7"/>
  <c r="C11" i="7"/>
  <c r="B11" i="7"/>
  <c r="AJ10" i="7"/>
  <c r="AI10" i="7"/>
  <c r="AH10" i="7"/>
  <c r="AB10" i="7"/>
  <c r="AA10" i="7"/>
  <c r="Z10" i="7"/>
  <c r="V10" i="7"/>
  <c r="U10" i="7"/>
  <c r="T10" i="7"/>
  <c r="Q10" i="7"/>
  <c r="P10" i="7"/>
  <c r="O10" i="7"/>
  <c r="N10" i="7"/>
  <c r="K10" i="7"/>
  <c r="J10" i="7"/>
  <c r="I10" i="7"/>
  <c r="H10" i="7"/>
  <c r="E10" i="7"/>
  <c r="D10" i="7"/>
  <c r="C10" i="7"/>
  <c r="B10" i="7"/>
  <c r="AJ9" i="7"/>
  <c r="AI9" i="7"/>
  <c r="AH9" i="7"/>
  <c r="AB9" i="7"/>
  <c r="AA9" i="7"/>
  <c r="Z9" i="7"/>
  <c r="V9" i="7"/>
  <c r="U9" i="7"/>
  <c r="T9" i="7"/>
  <c r="Q9" i="7"/>
  <c r="P9" i="7"/>
  <c r="O9" i="7"/>
  <c r="N9" i="7"/>
  <c r="K9" i="7"/>
  <c r="J9" i="7"/>
  <c r="I9" i="7"/>
  <c r="B9" i="7"/>
  <c r="H9" i="7"/>
  <c r="E9" i="7"/>
  <c r="D9" i="7"/>
  <c r="C9" i="7"/>
  <c r="AJ8" i="7"/>
  <c r="AI8" i="7"/>
  <c r="AH8" i="7"/>
  <c r="AB8" i="7"/>
  <c r="AA8" i="7"/>
  <c r="Z8" i="7"/>
  <c r="V8" i="7"/>
  <c r="U8" i="7"/>
  <c r="T8" i="7"/>
  <c r="Q8" i="7"/>
  <c r="P8" i="7"/>
  <c r="H41" i="6"/>
  <c r="H40" i="6"/>
  <c r="H39" i="6"/>
  <c r="G41" i="6"/>
  <c r="G40" i="6"/>
  <c r="G39" i="6"/>
  <c r="H38" i="6"/>
  <c r="G38" i="6"/>
  <c r="H20" i="6"/>
  <c r="G20" i="6"/>
  <c r="F20" i="6"/>
  <c r="E20" i="6"/>
  <c r="D20" i="6"/>
  <c r="C20" i="6"/>
  <c r="H21" i="6"/>
  <c r="G21" i="6"/>
  <c r="F21" i="6"/>
  <c r="E21" i="6"/>
  <c r="D21" i="6"/>
  <c r="C21" i="6"/>
  <c r="H24" i="6"/>
  <c r="G24" i="6"/>
  <c r="F24" i="6"/>
  <c r="E24" i="6"/>
  <c r="D24" i="6"/>
  <c r="C24" i="6"/>
  <c r="H25" i="6"/>
  <c r="G25" i="6"/>
  <c r="F25" i="6"/>
  <c r="E25" i="6"/>
  <c r="D25" i="6"/>
  <c r="C25" i="6"/>
  <c r="H28" i="6"/>
  <c r="G28" i="6"/>
  <c r="F28" i="6"/>
  <c r="E28" i="6"/>
  <c r="D28" i="6"/>
  <c r="C28" i="6"/>
  <c r="H29" i="6"/>
  <c r="G29" i="6"/>
  <c r="F29" i="6"/>
  <c r="E29" i="6"/>
  <c r="D29" i="6"/>
  <c r="C29" i="6"/>
  <c r="H32" i="6"/>
  <c r="G32" i="6"/>
  <c r="F32" i="6"/>
  <c r="E32" i="6"/>
  <c r="D32" i="6"/>
  <c r="C32" i="6"/>
  <c r="H33" i="6"/>
  <c r="G33" i="6"/>
  <c r="F33" i="6"/>
  <c r="E33" i="6"/>
  <c r="D33" i="6"/>
  <c r="C33" i="6"/>
  <c r="F40" i="6"/>
  <c r="E40" i="6"/>
  <c r="D40" i="6"/>
  <c r="C40" i="6"/>
  <c r="F41" i="6"/>
  <c r="E41" i="6"/>
  <c r="D41" i="6"/>
  <c r="C41" i="6"/>
  <c r="F39" i="6"/>
  <c r="E39" i="6"/>
  <c r="D39" i="6"/>
  <c r="C39" i="6"/>
  <c r="F38" i="6"/>
  <c r="E38" i="6"/>
  <c r="D38" i="6"/>
  <c r="C38" i="6"/>
  <c r="H19" i="6"/>
  <c r="G19" i="6"/>
  <c r="F19" i="6"/>
  <c r="E19" i="6"/>
  <c r="D19" i="6"/>
  <c r="C19" i="6"/>
  <c r="H18" i="6"/>
  <c r="G18" i="6"/>
  <c r="F18" i="6"/>
  <c r="E18" i="6"/>
  <c r="D18" i="6"/>
  <c r="C18" i="6"/>
  <c r="H37" i="6"/>
  <c r="G37" i="6"/>
  <c r="F37" i="6"/>
  <c r="E37" i="6"/>
  <c r="D37" i="6"/>
  <c r="C37" i="6"/>
  <c r="H36" i="6"/>
  <c r="G36" i="6"/>
  <c r="F36" i="6"/>
  <c r="E36" i="6"/>
  <c r="D36" i="6"/>
  <c r="C36" i="6"/>
  <c r="H35" i="6"/>
  <c r="G35" i="6"/>
  <c r="F35" i="6"/>
  <c r="E35" i="6"/>
  <c r="D35" i="6"/>
  <c r="C35" i="6"/>
  <c r="H34" i="6"/>
  <c r="G34" i="6"/>
  <c r="F34" i="6"/>
  <c r="E34" i="6"/>
  <c r="D34" i="6"/>
  <c r="C34" i="6"/>
  <c r="H31" i="6"/>
  <c r="G31" i="6"/>
  <c r="F31" i="6"/>
  <c r="E31" i="6"/>
  <c r="D31" i="6"/>
  <c r="C31" i="6"/>
  <c r="H30" i="6"/>
  <c r="G30" i="6"/>
  <c r="F30" i="6"/>
  <c r="E30" i="6"/>
  <c r="D30" i="6"/>
  <c r="C30" i="6"/>
  <c r="H27" i="6"/>
  <c r="G27" i="6"/>
  <c r="F27" i="6"/>
  <c r="E27" i="6"/>
  <c r="D27" i="6"/>
  <c r="C27" i="6"/>
  <c r="H26" i="6"/>
  <c r="G26" i="6"/>
  <c r="F26" i="6"/>
  <c r="E26" i="6"/>
  <c r="D26" i="6"/>
  <c r="C26" i="6"/>
  <c r="H23" i="6"/>
  <c r="G23" i="6"/>
  <c r="F23" i="6"/>
  <c r="E23" i="6"/>
  <c r="D23" i="6"/>
  <c r="C23" i="6"/>
  <c r="H22" i="6"/>
  <c r="G22" i="6"/>
  <c r="F22" i="6"/>
  <c r="E22" i="6"/>
  <c r="D22" i="6"/>
  <c r="C22" i="6"/>
  <c r="H26" i="7" l="1"/>
  <c r="AJ26" i="7"/>
  <c r="N26" i="7"/>
  <c r="AA26" i="7"/>
  <c r="H24" i="7"/>
  <c r="N24" i="7"/>
  <c r="AA24" i="7"/>
  <c r="AJ24" i="7"/>
  <c r="AJ23" i="7"/>
  <c r="U23" i="7"/>
  <c r="P23" i="7"/>
  <c r="AI23" i="7"/>
  <c r="H22" i="7"/>
  <c r="I23" i="7"/>
  <c r="J22" i="7"/>
  <c r="J23" i="7"/>
  <c r="I24" i="7"/>
  <c r="H25" i="7"/>
  <c r="I26" i="7"/>
  <c r="I22" i="7"/>
  <c r="H23" i="7"/>
  <c r="J24" i="7"/>
  <c r="I25" i="7"/>
  <c r="H27" i="7"/>
  <c r="J26" i="7"/>
  <c r="J25" i="7"/>
  <c r="I27" i="7"/>
  <c r="U24" i="7"/>
  <c r="F56" i="6"/>
  <c r="E56" i="6"/>
  <c r="W25" i="7"/>
  <c r="E41" i="7" s="1"/>
  <c r="AI24" i="7"/>
  <c r="W26" i="7"/>
  <c r="E42" i="7" s="1"/>
  <c r="AH26" i="7"/>
  <c r="C56" i="6"/>
  <c r="D56" i="6"/>
  <c r="V27" i="7"/>
  <c r="AH27" i="7"/>
  <c r="N27" i="7"/>
  <c r="AI27" i="7"/>
  <c r="AA27" i="7"/>
  <c r="AJ27" i="7"/>
  <c r="AB27" i="7"/>
  <c r="AC27" i="7"/>
  <c r="P27" i="7"/>
  <c r="W27" i="7"/>
  <c r="E43" i="7" s="1"/>
  <c r="B25" i="7"/>
  <c r="AH23" i="7"/>
  <c r="B24" i="7"/>
  <c r="C26" i="7"/>
  <c r="C23" i="7"/>
  <c r="B27" i="7"/>
  <c r="AC24" i="7"/>
  <c r="V24" i="7"/>
  <c r="P24" i="7"/>
  <c r="O24" i="7"/>
  <c r="AB24" i="7"/>
  <c r="AH24" i="7"/>
  <c r="W24" i="7"/>
  <c r="E40" i="7" s="1"/>
  <c r="AB22" i="7"/>
  <c r="W22" i="7"/>
  <c r="E38" i="7" s="1"/>
  <c r="V23" i="7"/>
  <c r="D25" i="7"/>
  <c r="N22" i="7"/>
  <c r="AH22" i="7"/>
  <c r="AI22" i="7"/>
  <c r="U22" i="7"/>
  <c r="AJ22" i="7"/>
  <c r="O22" i="7"/>
  <c r="AA22" i="7"/>
  <c r="V22" i="7"/>
  <c r="N23" i="7"/>
  <c r="AA23" i="7"/>
  <c r="D24" i="7"/>
  <c r="AC22" i="7"/>
  <c r="D22" i="7"/>
  <c r="P22" i="7"/>
  <c r="D23" i="7"/>
  <c r="O23" i="7"/>
  <c r="AB23" i="7"/>
  <c r="AC23" i="7"/>
  <c r="AG24" i="7"/>
  <c r="AK10" i="7"/>
  <c r="Q26" i="7"/>
  <c r="D42" i="7" s="1"/>
  <c r="P25" i="7"/>
  <c r="AG25" i="7"/>
  <c r="AK11" i="7"/>
  <c r="AJ25" i="7"/>
  <c r="C24" i="7"/>
  <c r="Q25" i="7"/>
  <c r="D41" i="7" s="1"/>
  <c r="AH25" i="7"/>
  <c r="D26" i="7"/>
  <c r="C22" i="7"/>
  <c r="U25" i="7"/>
  <c r="AG23" i="7"/>
  <c r="AK9" i="7"/>
  <c r="V25" i="7"/>
  <c r="W23" i="7"/>
  <c r="E39" i="7" s="1"/>
  <c r="Q23" i="7"/>
  <c r="D39" i="7" s="1"/>
  <c r="C27" i="7"/>
  <c r="AC25" i="7"/>
  <c r="AG22" i="7"/>
  <c r="AK8" i="7"/>
  <c r="B23" i="7"/>
  <c r="N25" i="7"/>
  <c r="AA25" i="7"/>
  <c r="AG26" i="7"/>
  <c r="AK12" i="7"/>
  <c r="Q24" i="7"/>
  <c r="D40" i="7" s="1"/>
  <c r="AG27" i="7"/>
  <c r="AK13" i="7"/>
  <c r="Q22" i="7"/>
  <c r="D38" i="7" s="1"/>
  <c r="C25" i="7"/>
  <c r="O25" i="7"/>
  <c r="AB25" i="7"/>
  <c r="Q27" i="7"/>
  <c r="B26" i="7"/>
  <c r="R8" i="7"/>
  <c r="T22" i="7"/>
  <c r="X8" i="7"/>
  <c r="F10" i="7"/>
  <c r="E24" i="7" s="1"/>
  <c r="B40" i="7"/>
  <c r="L13" i="7"/>
  <c r="K27" i="7" s="1"/>
  <c r="C43" i="7"/>
  <c r="F8" i="7"/>
  <c r="E22" i="7" s="1"/>
  <c r="B38" i="7"/>
  <c r="AD9" i="7"/>
  <c r="Z23" i="7"/>
  <c r="AD13" i="7"/>
  <c r="Z27" i="7"/>
  <c r="R10" i="7"/>
  <c r="X13" i="7"/>
  <c r="T27" i="7"/>
  <c r="X11" i="7"/>
  <c r="T25" i="7"/>
  <c r="R9" i="7"/>
  <c r="L11" i="7"/>
  <c r="K25" i="7" s="1"/>
  <c r="C41" i="7"/>
  <c r="AD8" i="7"/>
  <c r="Z22" i="7"/>
  <c r="L12" i="7"/>
  <c r="K26" i="7" s="1"/>
  <c r="C42" i="7"/>
  <c r="X12" i="7"/>
  <c r="T26" i="7"/>
  <c r="L10" i="7"/>
  <c r="K24" i="7" s="1"/>
  <c r="C40" i="7"/>
  <c r="X10" i="7"/>
  <c r="T24" i="7"/>
  <c r="F13" i="7"/>
  <c r="E27" i="7" s="1"/>
  <c r="R13" i="7"/>
  <c r="C38" i="7"/>
  <c r="L8" i="7"/>
  <c r="K22" i="7" s="1"/>
  <c r="C39" i="7"/>
  <c r="L9" i="7"/>
  <c r="K23" i="7" s="1"/>
  <c r="AD11" i="7"/>
  <c r="Z25" i="7"/>
  <c r="B43" i="7"/>
  <c r="F9" i="7"/>
  <c r="E23" i="7" s="1"/>
  <c r="B39" i="7"/>
  <c r="T23" i="7"/>
  <c r="X9" i="7"/>
  <c r="F11" i="7"/>
  <c r="E25" i="7" s="1"/>
  <c r="B41" i="7"/>
  <c r="R11" i="7"/>
  <c r="AD10" i="7"/>
  <c r="Z24" i="7"/>
  <c r="F12" i="7"/>
  <c r="E26" i="7" s="1"/>
  <c r="B42" i="7"/>
  <c r="R12" i="7"/>
  <c r="AD12" i="7"/>
  <c r="Z26" i="7"/>
  <c r="AD26" i="7" s="1"/>
  <c r="F42" i="7" s="1"/>
  <c r="AL15" i="7"/>
  <c r="G56" i="6"/>
  <c r="H56" i="6"/>
  <c r="H57" i="6"/>
  <c r="G57" i="6"/>
  <c r="F57" i="6"/>
  <c r="E57" i="6"/>
  <c r="D57" i="6"/>
  <c r="C57" i="6"/>
  <c r="D55" i="6"/>
  <c r="E55" i="6"/>
  <c r="F55" i="6"/>
  <c r="G55" i="6"/>
  <c r="F54" i="6"/>
  <c r="H55" i="6"/>
  <c r="J57" i="6"/>
  <c r="G54" i="6"/>
  <c r="J55" i="6"/>
  <c r="J54" i="6"/>
  <c r="C55" i="6"/>
  <c r="J56" i="6"/>
  <c r="H51" i="6"/>
  <c r="E51" i="6"/>
  <c r="D51" i="6"/>
  <c r="C51" i="6"/>
  <c r="F51" i="6"/>
  <c r="C54" i="6"/>
  <c r="H54" i="6"/>
  <c r="G51" i="6"/>
  <c r="D54" i="6"/>
  <c r="E54" i="6"/>
  <c r="D8" i="5"/>
  <c r="D15" i="5" s="1"/>
  <c r="G8" i="5"/>
  <c r="B8" i="5"/>
  <c r="E8" i="5"/>
  <c r="E16" i="5" s="1"/>
  <c r="F8" i="5"/>
  <c r="F13" i="5" s="1"/>
  <c r="C8" i="5"/>
  <c r="C13" i="5" s="1"/>
  <c r="AK23" i="7" l="1"/>
  <c r="H39" i="7" s="1"/>
  <c r="AK27" i="7"/>
  <c r="H43" i="7" s="1"/>
  <c r="AK26" i="7"/>
  <c r="H42" i="7" s="1"/>
  <c r="AK24" i="7"/>
  <c r="H40" i="7" s="1"/>
  <c r="X26" i="7"/>
  <c r="R23" i="7"/>
  <c r="R22" i="7"/>
  <c r="B14" i="5"/>
  <c r="B13" i="5"/>
  <c r="X27" i="7"/>
  <c r="R27" i="7"/>
  <c r="AD27" i="7"/>
  <c r="F43" i="7" s="1"/>
  <c r="R26" i="7"/>
  <c r="R25" i="7"/>
  <c r="R24" i="7"/>
  <c r="AK22" i="7"/>
  <c r="H38" i="7" s="1"/>
  <c r="X24" i="7"/>
  <c r="AD24" i="7"/>
  <c r="F40" i="7" s="1"/>
  <c r="X25" i="7"/>
  <c r="AD23" i="7"/>
  <c r="F39" i="7" s="1"/>
  <c r="AD22" i="7"/>
  <c r="F38" i="7" s="1"/>
  <c r="X22" i="7"/>
  <c r="AD25" i="7"/>
  <c r="F41" i="7" s="1"/>
  <c r="E13" i="5"/>
  <c r="E15" i="5"/>
  <c r="B16" i="5"/>
  <c r="D13" i="5"/>
  <c r="E14" i="5"/>
  <c r="AK25" i="7"/>
  <c r="H41" i="7" s="1"/>
  <c r="D43" i="7"/>
  <c r="X23" i="7"/>
  <c r="I57" i="6"/>
  <c r="K57" i="6" s="1"/>
  <c r="I56" i="6"/>
  <c r="K56" i="6" s="1"/>
  <c r="I55" i="6"/>
  <c r="K55" i="6" s="1"/>
  <c r="I54" i="6"/>
  <c r="K54" i="6" s="1"/>
  <c r="F16" i="5"/>
  <c r="B15" i="5"/>
  <c r="F15" i="5"/>
  <c r="D14" i="5"/>
  <c r="D16" i="5"/>
  <c r="C15" i="5"/>
  <c r="C16" i="5"/>
  <c r="C14" i="5"/>
  <c r="G13" i="5"/>
  <c r="G15" i="5"/>
  <c r="G16" i="5"/>
  <c r="G14" i="5"/>
  <c r="F14" i="5"/>
</calcChain>
</file>

<file path=xl/sharedStrings.xml><?xml version="1.0" encoding="utf-8"?>
<sst xmlns="http://schemas.openxmlformats.org/spreadsheetml/2006/main" count="3379" uniqueCount="844">
  <si>
    <t>Guest Name</t>
  </si>
  <si>
    <t>Poor</t>
  </si>
  <si>
    <t>Average</t>
  </si>
  <si>
    <t>Good</t>
  </si>
  <si>
    <t>Excellent</t>
  </si>
  <si>
    <t>Service</t>
  </si>
  <si>
    <t>Food</t>
  </si>
  <si>
    <t>Lodge Staff</t>
  </si>
  <si>
    <t>Accomodation</t>
  </si>
  <si>
    <t>Overall Stay</t>
  </si>
  <si>
    <t>Total</t>
  </si>
  <si>
    <t>Booking Dates</t>
  </si>
  <si>
    <t>Folio No</t>
  </si>
  <si>
    <t xml:space="preserve">Email </t>
  </si>
  <si>
    <t>Comments</t>
  </si>
  <si>
    <t>Activities</t>
  </si>
  <si>
    <t>September</t>
  </si>
  <si>
    <t>August</t>
  </si>
  <si>
    <t>July</t>
  </si>
  <si>
    <t>June</t>
  </si>
  <si>
    <t>May</t>
  </si>
  <si>
    <t>di@labellemaison.co.za</t>
  </si>
  <si>
    <t>October</t>
  </si>
  <si>
    <t>February</t>
  </si>
  <si>
    <t>March</t>
  </si>
  <si>
    <t>April</t>
  </si>
  <si>
    <t>November</t>
  </si>
  <si>
    <t>December</t>
  </si>
  <si>
    <t>xx</t>
  </si>
  <si>
    <t>Janaury</t>
  </si>
  <si>
    <t>Month</t>
  </si>
  <si>
    <t>Rating</t>
  </si>
  <si>
    <t>Comment Cards in the month</t>
  </si>
  <si>
    <t>Accommodation</t>
  </si>
  <si>
    <t>nina.memmott@me.com</t>
  </si>
  <si>
    <t>SVETLANA VENKOVA</t>
  </si>
  <si>
    <t>MARCH</t>
  </si>
  <si>
    <t>EXCELLENT</t>
  </si>
  <si>
    <t>DMITRY VENKOV</t>
  </si>
  <si>
    <t>dmitryvenkov@yandex.ry</t>
  </si>
  <si>
    <t>tretinskai@yandex.ru</t>
  </si>
  <si>
    <t>THANK YOU VERY MUCH FOR THESE DAYS TOGETHER WITH YOU.</t>
  </si>
  <si>
    <t>paegg54@gmail.com</t>
  </si>
  <si>
    <t>I LIKE THE BLEND OF INFORMALITY AND PROFESSIONAL SERVICE</t>
  </si>
  <si>
    <t>DAVID EGGLESTONE</t>
  </si>
  <si>
    <t>ADRIAN EGGLESTONE</t>
  </si>
  <si>
    <t>dgegglestone@yahoo.co.uk</t>
  </si>
  <si>
    <t>A REALLY GREAT &amp; RELAXING VISIT</t>
  </si>
  <si>
    <t>ROSIE EGGLESTONE</t>
  </si>
  <si>
    <t>changilarosie@gmail.com</t>
  </si>
  <si>
    <t>HAD AN AMAZING EXPERIENCE</t>
  </si>
  <si>
    <t>LYNNE EGGLESTONE</t>
  </si>
  <si>
    <t>lynne.egglestone@me.net</t>
  </si>
  <si>
    <t>WOULD LOVE TO COME BACK</t>
  </si>
  <si>
    <t>LUCY STANTON</t>
  </si>
  <si>
    <t>lucy@lucystanton.com.au</t>
  </si>
  <si>
    <t>THE WHOLE EXPERIENCE WAS 5-STAR.</t>
  </si>
  <si>
    <t>ANNA BOSMA</t>
  </si>
  <si>
    <t>annajongema@gmail.com</t>
  </si>
  <si>
    <t>ANN JONGEMA</t>
  </si>
  <si>
    <t>CRAIG FEATHERBY</t>
  </si>
  <si>
    <t>ANOTHER GREAT STAY</t>
  </si>
  <si>
    <t>DI FEATHERBY</t>
  </si>
  <si>
    <t>ONCE AGAIN ANOTHER EUPHORIC EXPERIENCE</t>
  </si>
  <si>
    <t>RICHARD MEMMOTT</t>
  </si>
  <si>
    <t>NINA MEMMOTT</t>
  </si>
  <si>
    <t>GOOD</t>
  </si>
  <si>
    <t>THE FOOD WERE REALLY GOOD.</t>
  </si>
  <si>
    <t>NANDY FEATHERBY</t>
  </si>
  <si>
    <t>ANOTHER WONDERFUL EXPERIENCE.</t>
  </si>
  <si>
    <t>GARRY FEATHERBY</t>
  </si>
  <si>
    <t>AVERAGE</t>
  </si>
  <si>
    <t>KERIE FEATHERBY</t>
  </si>
  <si>
    <t>kerie@flatline.co.za</t>
  </si>
  <si>
    <t>THE BEAUTIFUL SURROUNDINGS, EXCEPTIONAL SERVICE, DELICIOUS FOOD AND WONDERFUL EXPERIENCE, IT IS ALL APPRECIATED.</t>
  </si>
  <si>
    <t>STUART FEATHERBY</t>
  </si>
  <si>
    <t>stuart@flatline.co.za</t>
  </si>
  <si>
    <t>OUTSTANDING SERVICE AND MEMORABLE EXPERIENCE.</t>
  </si>
  <si>
    <t>CAROLINE MCARTON</t>
  </si>
  <si>
    <t>mcarton@live.ca</t>
  </si>
  <si>
    <t>EVERYONE WAS VERY FRIENDLY AND HELPFUL.</t>
  </si>
  <si>
    <t>MAX BLANKSTEIN</t>
  </si>
  <si>
    <t>maxblankstein@gmail.com</t>
  </si>
  <si>
    <t>NOT SURE HOW YOU CAN IMPROVE, COULD NOT FIND ANY WEAKNESS IN YOUR PRODUCT. KEEP UP THE EXCEPTIONAL WORK.</t>
  </si>
  <si>
    <t>ANDREW SPRAGUE</t>
  </si>
  <si>
    <t>asprague@amb.co.za</t>
  </si>
  <si>
    <t>EXCELLENT STAY, THANKS TO THE TEAM.</t>
  </si>
  <si>
    <t>MATT SPRAGUE</t>
  </si>
  <si>
    <t>THANK YOU FOR THE BEST STAY EVER. I LOVED THE FOOD, THE FISHING AND THANKS TO THE BEST WAITERS EVER.</t>
  </si>
  <si>
    <t>BRIGITTE DE BRUYN</t>
  </si>
  <si>
    <t>BRIGITTEDB@MWEB.CO.ZA</t>
  </si>
  <si>
    <t>THE FOOD WAS AMAZING AND THE STAFF WERE ATTENTIVE, FRIENDLY &amp; VERY EFFICIENT. WHAT AN AWESOME TRIP.</t>
  </si>
  <si>
    <t>DICKIE KAY</t>
  </si>
  <si>
    <t>dmh3kay@aol.com</t>
  </si>
  <si>
    <t>ABSOLUTELY LOVELY!! WONDERFUL.</t>
  </si>
  <si>
    <t>HALEY SCHURZ</t>
  </si>
  <si>
    <t>haley@africaoutreach.net</t>
  </si>
  <si>
    <t>HAD A WONDERFUL TIME. THE STAFF WERE GREAT, AND WHEREVER I SAW THEM THEY WERE HAPPY AND HELPFUL.</t>
  </si>
  <si>
    <t>MARY CHANG</t>
  </si>
  <si>
    <t>IT WAS LOVELY - WESTON &amp; PETER WERE VERY PATIENT, WE FELT VERY SAFE IN THEIR HANDS.</t>
  </si>
  <si>
    <t>WALKER SCHURZ</t>
  </si>
  <si>
    <t>walker@africaoutreach.net</t>
  </si>
  <si>
    <t>5-STAR!!!! GREAT ROOMS, FOOD (AMAZING LAMB CURRY), AND GUIDES. WILL DEFINITELY BE BACK.</t>
  </si>
  <si>
    <t>ALISON LOMBARD</t>
  </si>
  <si>
    <t>alisonlomard91@gmail.com</t>
  </si>
  <si>
    <t>THANKS FOR THE STAY!</t>
  </si>
  <si>
    <t>RICHARD MORROW</t>
  </si>
  <si>
    <t>I WISH I COULD HAVE STAYED LONGER</t>
  </si>
  <si>
    <t>HENRY SANDS</t>
  </si>
  <si>
    <t>henry.sands@sabistrategy.com</t>
  </si>
  <si>
    <t>PUNIT SHARMA</t>
  </si>
  <si>
    <t>davisdm@zcorsources.com</t>
  </si>
  <si>
    <t>DAVIS MWANAMOYA</t>
  </si>
  <si>
    <t>LOOKING FORWARD TO COMING BACK WITH MY FAMILY</t>
  </si>
  <si>
    <t>KLOKKE VAN BLERK</t>
  </si>
  <si>
    <t>francoisklokke@gmail.com</t>
  </si>
  <si>
    <t>ZANLI VAN BLERK</t>
  </si>
  <si>
    <t>zjdejager@gmail.com</t>
  </si>
  <si>
    <t>WAS A REALLY WONDERFUL EXPERIENCE</t>
  </si>
  <si>
    <t>STUART KIRKMAN</t>
  </si>
  <si>
    <t>skamakzam@gmail.com</t>
  </si>
  <si>
    <t>WHAT AN AMAZING 3-DAYS WE HAD.A BEAUTIFUL AND A TOP RATE STAFF COMPLIMENT.</t>
  </si>
  <si>
    <t>KERRY KIRKMAN</t>
  </si>
  <si>
    <t>WHAT AN AMAZING MEMORY WE HAVE MADE. WE WILL BE BACK.</t>
  </si>
  <si>
    <t>RYAN STICKEL</t>
  </si>
  <si>
    <t>stickelryan@gmail.com</t>
  </si>
  <si>
    <t>MAUREEN STICKEL</t>
  </si>
  <si>
    <t>mostickel@gmail.com</t>
  </si>
  <si>
    <t>THANK YOU FOR SUCH A NICE STAY. YOUR TEAM WENT ABOVE &amp; BEYOND FOR US AND OUR KIDS. WE WILL BE BACK.</t>
  </si>
  <si>
    <t>KERRY KIRBY</t>
  </si>
  <si>
    <t>kerrykirbs@gmail.com</t>
  </si>
  <si>
    <t>BEST STEAKS EVER.</t>
  </si>
  <si>
    <t>APRIL</t>
  </si>
  <si>
    <t>EAMONN O'NEILL</t>
  </si>
  <si>
    <t>epo@oneills.co.za</t>
  </si>
  <si>
    <t>HAD A GREAT TIME, STAFF WERE EXCELLENT. SEE YOU SOON.</t>
  </si>
  <si>
    <t>COLIN MOODLEY</t>
  </si>
  <si>
    <t>colin@terramarine.co.za</t>
  </si>
  <si>
    <t>ABSOLUTELY THE BEST STAFF AT BAINES.BEST EXPERIENCE I HAVE HAD. WELL DONE TO ZENA, STEPHAN &amp; DAVID!!</t>
  </si>
  <si>
    <t>MARK JOUBERT</t>
  </si>
  <si>
    <t>joubertm@guardrisk.co.za</t>
  </si>
  <si>
    <t>ZENA IS MY BEST FRIEND FOR LIFE!!</t>
  </si>
  <si>
    <t>FRED VAN NIEKERK</t>
  </si>
  <si>
    <t>fred.vn777@live.co.uk</t>
  </si>
  <si>
    <t>EXCELLENT STAY</t>
  </si>
  <si>
    <t>ISHAAN PATEL</t>
  </si>
  <si>
    <t>MUNIRA PATEL</t>
  </si>
  <si>
    <t>munirapatel2000@yahoo.com</t>
  </si>
  <si>
    <t>MEGHNA PATEL</t>
  </si>
  <si>
    <t>WONDERFUL STAY.</t>
  </si>
  <si>
    <t>MICHEL WIEJA</t>
  </si>
  <si>
    <t>michel.wieja@gmx.de</t>
  </si>
  <si>
    <t>DAGMAR BALZER</t>
  </si>
  <si>
    <t>adyt@gmx.de</t>
  </si>
  <si>
    <t>WE HAD A BEAUTIFUL TIME HERE.</t>
  </si>
  <si>
    <t>DIANA WIEJA</t>
  </si>
  <si>
    <t>diana.wieja@gmax.de</t>
  </si>
  <si>
    <t>I AM GLAD WE WERE BOOKED INTO BAINES' RIVER CAMP. A BEAUTIFUL PLACE TO STAY AND VERY FRIENDLY PEOPLE.</t>
  </si>
  <si>
    <t>CAILLAN MITCHELL</t>
  </si>
  <si>
    <t>caillan.mitchell1@gmail.com</t>
  </si>
  <si>
    <t>SUSIE IRONSIDE</t>
  </si>
  <si>
    <t>12susan.ironside@gmail.com</t>
  </si>
  <si>
    <t>THE MOST BEAUTIFUL EXPERIENCE. EVERYTHING ABOUT OUR STAY WAS 100%. I FEEL SO LUCKY TO HAVE STAYED HERE.</t>
  </si>
  <si>
    <t>JOANNA ABLETT</t>
  </si>
  <si>
    <t>joannaablett@hotmail.com</t>
  </si>
  <si>
    <t>THANK YOU ALL FOR THE INCREDIBLE MEMORIES - YOU'VE MADE MY FIRST VISIT TO ZAMBIA UTERLY MAGICAL.</t>
  </si>
  <si>
    <t>SAANA HALINEN</t>
  </si>
  <si>
    <t>saana.halinen@gov.fn</t>
  </si>
  <si>
    <t>MICHAL ARPI</t>
  </si>
  <si>
    <t>ZENA, STEPHAN &amp; DAVID ARE AMAZING. MAKE US HAVE OUR BEST HOLIDAYS FOR THE LAST 6 YEARS AND MAKE US FEEL AT HOME EVERYTIME.</t>
  </si>
  <si>
    <t>SAHAR ARPI</t>
  </si>
  <si>
    <t>AVIA ARPI</t>
  </si>
  <si>
    <t>THANK YOU VERY MUCH! YOU ARE ALL SUPERSTARS!!</t>
  </si>
  <si>
    <t>SAKARI SAARITSA</t>
  </si>
  <si>
    <t>sakari.saartitsa@helsinki.fn</t>
  </si>
  <si>
    <t>LORENZ GMUER</t>
  </si>
  <si>
    <t>gmuer.lorenz@gmail.com</t>
  </si>
  <si>
    <t>IT WAS VERY COOL.</t>
  </si>
  <si>
    <t>SULVAN GMUER</t>
  </si>
  <si>
    <t>silvan.gmuer@gmail.com</t>
  </si>
  <si>
    <t>WE HAD 4 WONDERFUL DAYS HERE, VERY FRIENDLY AND HELPFUL STAFF AND GREAT SERVICE.</t>
  </si>
  <si>
    <t>ORLANDO GMUER</t>
  </si>
  <si>
    <t>orlando.gmuer@gmail.com</t>
  </si>
  <si>
    <t>I LIKED EVERYTHING, IT WAS VERY NICE HERE.</t>
  </si>
  <si>
    <t>GESA GMUER</t>
  </si>
  <si>
    <t>gesa.leuchinger@gmail.com</t>
  </si>
  <si>
    <t>WE HAD SUCH A BEAUTIFUL STAY - THANK YOU SO MUCH FOR THE GREAT FOOD, EXCELLENT GUIDES, VERY HELPFUL &amp; NICE STAFF.</t>
  </si>
  <si>
    <t>MARTIN SMITH</t>
  </si>
  <si>
    <t>martin.smith@gmail.com</t>
  </si>
  <si>
    <t>LOVELY PLACE.</t>
  </si>
  <si>
    <t>LYNRAE SMITH</t>
  </si>
  <si>
    <t>lynrae.mkushi@gmail</t>
  </si>
  <si>
    <t>HESSEL ELSINGA</t>
  </si>
  <si>
    <t>hessel.elsinga@hotmail.com</t>
  </si>
  <si>
    <t>DEVA POURIER</t>
  </si>
  <si>
    <t>devapourier@hotmail.com</t>
  </si>
  <si>
    <t>ENRICO MENZOLINI</t>
  </si>
  <si>
    <t>MAY</t>
  </si>
  <si>
    <t>enrico.menzolini@iceaspa.it</t>
  </si>
  <si>
    <t>SUGGESTING BETTER JAM/MARMALADE SALTED BUTTER</t>
  </si>
  <si>
    <t>PATRIZIA LOMBARDI</t>
  </si>
  <si>
    <t>patrizia_lombardi@mac.Com</t>
  </si>
  <si>
    <t>ANNELIES BOEZAARD</t>
  </si>
  <si>
    <t>a.boezaard@lipnmail.nl</t>
  </si>
  <si>
    <t>THANK YOU FOR OUR DREAM HOLIDAY</t>
  </si>
  <si>
    <t>ASTRID SIPKES</t>
  </si>
  <si>
    <t>asipkes@gmail.com</t>
  </si>
  <si>
    <t>EVERYTHING WAS PERFECT. I FELT SAFE DURING THE ACTIVITIES, THE GUIDES NEW SO MANY NAMES AND EXPLAINED A LOT! THE ACCOMODATION AND SERVICE WASEXCELLENT. FOOD WAS DELICIOUS.</t>
  </si>
  <si>
    <t>NOBUHIKO SAITO</t>
  </si>
  <si>
    <t>saitonorm@gmail.com</t>
  </si>
  <si>
    <t>DAI LIMAI</t>
  </si>
  <si>
    <t>bigone40225@hotmail.com</t>
  </si>
  <si>
    <t>I REALLY ENJOY STAYING THE CAMP. I WILL RECOMMEND THE CAMP TO MY JAPENESE FRIENDS. THANK YOU!</t>
  </si>
  <si>
    <t>MARC NOSBACH</t>
  </si>
  <si>
    <t>nosbach@gmail.com</t>
  </si>
  <si>
    <t>THANK YOU!</t>
  </si>
  <si>
    <t>SCHALK ERASMUS</t>
  </si>
  <si>
    <t>schalk@erasmus.na</t>
  </si>
  <si>
    <t>HANNO ERASMUS</t>
  </si>
  <si>
    <t>hannoe2009@gmail.com</t>
  </si>
  <si>
    <t>WIFI PROBLEMS</t>
  </si>
  <si>
    <t>JOHANNA ERASMUS</t>
  </si>
  <si>
    <t>zelda@erasmus.na</t>
  </si>
  <si>
    <t>VERY PLEASED WITH THE WHOLE EXPERIENCE. THANK YOU VERY MUCH. ESPECIALLY THE SOUP.</t>
  </si>
  <si>
    <t>NICHOLAS GERBER</t>
  </si>
  <si>
    <t>ngerber@concordcranes.com</t>
  </si>
  <si>
    <t>WE HAD AN AMAZING EXPERIENCE. THANK YOU.</t>
  </si>
  <si>
    <t>WAYNE</t>
  </si>
  <si>
    <t>wayne@concordcranes.com</t>
  </si>
  <si>
    <t>ROBERT BUCHLER</t>
  </si>
  <si>
    <t>robert@concordcranes.com</t>
  </si>
  <si>
    <t>5 STAR EXPERIENCE!!!!</t>
  </si>
  <si>
    <t>LUALAN REDDY</t>
  </si>
  <si>
    <t>lualan@concordcranes.com</t>
  </si>
  <si>
    <t>NEIL FERGUSON</t>
  </si>
  <si>
    <t>ALWAYS REALLY SPECIAL TO SPEND TIME AT BAINES.</t>
  </si>
  <si>
    <t>JOHN DAMANT</t>
  </si>
  <si>
    <t>neilfurguson@iafrica.com</t>
  </si>
  <si>
    <t>john@budrental.co.za</t>
  </si>
  <si>
    <t>ANOTHER GREAT TRIP THANKS</t>
  </si>
  <si>
    <t>naiksohini@hotmal.com</t>
  </si>
  <si>
    <t>VERY GOOD MEMORY</t>
  </si>
  <si>
    <t>HIMANSTIV SHAH</t>
  </si>
  <si>
    <t>shahifa@aol.com</t>
  </si>
  <si>
    <t>SEJAL SHAH</t>
  </si>
  <si>
    <t>sejalshah@gmail.com</t>
  </si>
  <si>
    <t>AMAZING STAY. HOPE TO COME BACK AGAIN.</t>
  </si>
  <si>
    <t>KRISH SHAH</t>
  </si>
  <si>
    <t>krishrox.shah@gmail,com</t>
  </si>
  <si>
    <t>KAHAAN</t>
  </si>
  <si>
    <t>kahaan.com</t>
  </si>
  <si>
    <t>KOREN DANBY</t>
  </si>
  <si>
    <t>korendanby@aol,com</t>
  </si>
  <si>
    <t>NICOLA DANBY</t>
  </si>
  <si>
    <t>danbyn@aol</t>
  </si>
  <si>
    <t>HAD THE MOST AMAZING TIME. ALL STAFF ARE A CREDIT TO BAINES' RIVER CAMP. UNTIL WE SEE YOU AGAIN.</t>
  </si>
  <si>
    <t>ANDREW DANBY</t>
  </si>
  <si>
    <t>danbya@aol.com</t>
  </si>
  <si>
    <t>FANTASTIC EXPERIENCE- VERY FRIENDLY &amp; HELPFUL STAFF. 5 STAR.</t>
  </si>
  <si>
    <t>WILLIAMS</t>
  </si>
  <si>
    <t>rnwjr@aol.com</t>
  </si>
  <si>
    <t>JIMMIE WILLIAMS</t>
  </si>
  <si>
    <t>mamajimbo@aol,com</t>
  </si>
  <si>
    <t>LEANNE TAN</t>
  </si>
  <si>
    <t>leannetanln@gmail.com</t>
  </si>
  <si>
    <t>APPRECIATE EVERYONE'S ATTENTION TO DETAIL DURING OUR STAY; FROM THE GUIDE STAFF TO EVEN THE SECURITY GUARDS. LAUNDRY SERVICE WAS TOP NOTCH! APPRECIATE THE EFFECINCY AND QUICK TURNOVER</t>
  </si>
  <si>
    <t>CHRISTOPHER BOEY</t>
  </si>
  <si>
    <t>christopher.isaac.boey@gmail.com</t>
  </si>
  <si>
    <t>REALLY ENJOYED THE FISHING EXPERIENCE. GUIDES WESTON AND PETER WERE KNOWLEDGEABLE AND REALLY HELPFUL THROUGHOUT OUR STAY. KEEP UP THE GOOD WORK.</t>
  </si>
  <si>
    <t>CHRIS GRAY</t>
  </si>
  <si>
    <t>graycaw@gmail.com</t>
  </si>
  <si>
    <t>SUPERB. MANY THANKS.</t>
  </si>
  <si>
    <t>JENNY GRAY</t>
  </si>
  <si>
    <t>jennyandchrisgray@gmail.com</t>
  </si>
  <si>
    <t>HAD A WONDERFUL STAY. JIMMY WAS EXCELLENT GUIDE 10/10</t>
  </si>
  <si>
    <t>JOMEI STERN</t>
  </si>
  <si>
    <t>jomeistern@gmail.com</t>
  </si>
  <si>
    <t>THE BEST 5 STAR EXPEERYANS</t>
  </si>
  <si>
    <t>LESSING STERN</t>
  </si>
  <si>
    <t>lessingstern@gmail.com</t>
  </si>
  <si>
    <t>JIN BUCHANAN</t>
  </si>
  <si>
    <t>jin@insightfulmes.com</t>
  </si>
  <si>
    <t>EVERYTHING WAS ABOVE AND BEYOND EXPECTATIONS. I WILL HIGHLY RECOMMEND TO OTHERS</t>
  </si>
  <si>
    <t>MICHAEL BUCHANAN</t>
  </si>
  <si>
    <t>mike@insightfulmes.com</t>
  </si>
  <si>
    <t>IT HAS BEEN WONDERFUL. THANK YOU FOR YOUR HOSPITALITY.</t>
  </si>
  <si>
    <t>LEZA GILLMAN</t>
  </si>
  <si>
    <t>leza.gillman@liblink,co,zm</t>
  </si>
  <si>
    <t>WILL BE BACK</t>
  </si>
  <si>
    <t>PAUL DE WAAL</t>
  </si>
  <si>
    <t>PERFECT STAY. STAFF ARE OUTSTANDING!!</t>
  </si>
  <si>
    <t>RITO EDDINS</t>
  </si>
  <si>
    <t>rito.eddins@gmail.com</t>
  </si>
  <si>
    <t>MARTHA FEUCHT</t>
  </si>
  <si>
    <t>E</t>
  </si>
  <si>
    <t>IT WAS A TREMENDOUS STAY. THANK YOU ALL.</t>
  </si>
  <si>
    <t>CHRISTOPH FEUGHT</t>
  </si>
  <si>
    <t>christoph.feught@gmail.com</t>
  </si>
  <si>
    <t>HARD TO GIVE A COMMENT TO IMPROVE.</t>
  </si>
  <si>
    <t>DARRYL WOOD</t>
  </si>
  <si>
    <t>JONATHAN WOOD</t>
  </si>
  <si>
    <t>e</t>
  </si>
  <si>
    <t>FROM THE VERY START WHEN THE PLANE LANDED, THE EXPERIENCE WAS TRULY AMAZING. A LIFETIME EXPERIENCE.</t>
  </si>
  <si>
    <t>PETER SCOTT</t>
  </si>
  <si>
    <t>SHALOM BARUCH</t>
  </si>
  <si>
    <t>WE REALLY ENJOYED. AMAZING PLACE!!</t>
  </si>
  <si>
    <t>CHANA BARUCH</t>
  </si>
  <si>
    <t>MICHAEL DOUGHERTY</t>
  </si>
  <si>
    <t>michael@citycentre.com.au</t>
  </si>
  <si>
    <t>BENICE DOUGHERTY</t>
  </si>
  <si>
    <t>PROFESSIONAL RUN BUSINESS. GREAT, CLEAN ACCOMODATION AND FACILITIES. EXCELLENT STAFF AND MANAGERS</t>
  </si>
  <si>
    <t>LESLIE NEVISON</t>
  </si>
  <si>
    <t>JUNE</t>
  </si>
  <si>
    <t>leslie@mttsafaris.com</t>
  </si>
  <si>
    <t>THANK YOU. ITS ALWAYS WONDERFUL TO VISIT.</t>
  </si>
  <si>
    <t>JOHN NEVISON</t>
  </si>
  <si>
    <t>jcnevison@hotmail,com</t>
  </si>
  <si>
    <t>ELIZABETH BRAND</t>
  </si>
  <si>
    <t>DAVID BRAND</t>
  </si>
  <si>
    <t>SOME BAKED GOODS WERE HARD. CEREAL WAS STALE. ROOM COULD USE MORE STORAGE SPACE. ALL STAFF WERE WONDERFUL. GUIDES BRILLIANT. THANK YOU FOR THE STAY,</t>
  </si>
  <si>
    <t>THOMAS MAZUREK III</t>
  </si>
  <si>
    <t>cmazurek@verizon'net</t>
  </si>
  <si>
    <t>EVERYTHING WAS WONDERFUL BEYOND EXPECTATIONS! (EXCEPT WiFi)</t>
  </si>
  <si>
    <t>PATRICIA MAZUREK</t>
  </si>
  <si>
    <t>p.s.mazurek@hotmail.com</t>
  </si>
  <si>
    <t>THOMAS MAZUREK IV</t>
  </si>
  <si>
    <t>THIS WAS A VERY FUN TRIP I WANT TOO COME BACK IN THE FUTURE.</t>
  </si>
  <si>
    <t>SHANNON WALKER</t>
  </si>
  <si>
    <t>shannonwalker@hotmail.com</t>
  </si>
  <si>
    <t>INCREDIBLE STAY. STAFF WERE AMAZING. INCREDIBLE MEMORIES. TWO SUGGESTIONS-WOULD HAVE LIKED SOME DRAWERS TO UNPACK CLOTHES. AND EGGS FOR EARLY BREAKFAST.</t>
  </si>
  <si>
    <t>TOM WALKER</t>
  </si>
  <si>
    <t>tom_walker40@hotmail.com</t>
  </si>
  <si>
    <t>VERY ENJOYABLE STAY. SERVICE IS EXCEPTIONAL. SPECIAL THANKS fOR THE iPAD RETRIEVAL MISSION!!</t>
  </si>
  <si>
    <t>HARRY &amp; GINA ANDERSON</t>
  </si>
  <si>
    <t>EVERYONE HAS BEEN AMAZING! WE LOVE HOW PEACEFUL IT IS HERE AS WELL. THANK YOU FOR KEEPING THINGS AS IS. WE WOULD NOT CHANGE ANYTHING</t>
  </si>
  <si>
    <t>KENT &amp; MICHELLE GUTZMER</t>
  </si>
  <si>
    <t>baileyshell800@gmail.com</t>
  </si>
  <si>
    <t>EVERYONE WAS AWESOME! VERY FRIENDLY, EXCEPTIONAL ATTENTION TO DETAIL AND SERVICE. SPECIAL THANKS TO DAVID AND GIBRES!</t>
  </si>
  <si>
    <t>CLAUDE FRIES</t>
  </si>
  <si>
    <t>MAYA FRIES</t>
  </si>
  <si>
    <t>IAN &amp; TRACEY HILL</t>
  </si>
  <si>
    <t>rogershill@sympatico.za</t>
  </si>
  <si>
    <t>LOVED IT HERE. WILL BE BACK. AMAZING STAY. EVERYTHING WAS PERFECT</t>
  </si>
  <si>
    <t xml:space="preserve">PAMELA SOUTHAM </t>
  </si>
  <si>
    <t>pamela.southam@hotmail.co.uk</t>
  </si>
  <si>
    <t>A TRULY LOVELY EXPERIENCE. SERVICE, HOSPITALITY OUTSTANDING</t>
  </si>
  <si>
    <t>HEATHER PARRY</t>
  </si>
  <si>
    <t>EXCEPT FOR TSETSE FLIES IN ROOM AND NON-FUNCTIONING SAFE</t>
  </si>
  <si>
    <t>VERONICA CONJIN</t>
  </si>
  <si>
    <t>vom.conijn@gmail.com</t>
  </si>
  <si>
    <t>I FEEL MYSELF SPECIAL WITH YOU. THANK YOU FOR ALL</t>
  </si>
  <si>
    <t>EMMA SHIPP</t>
  </si>
  <si>
    <t>emmashipp167@gmail.com</t>
  </si>
  <si>
    <t>A REALLY AMAZING STAY, THANK YOU. PARTICULAR THANKS FOR YOUR WARM &amp; ATTENTIVE SERVICE WITH REAL ATTENTION TO DETAIL.</t>
  </si>
  <si>
    <t>TJITSKE PRUIM</t>
  </si>
  <si>
    <t>LOVELY THAT THE PROGRAM IS NOT FIXED BUT CAN BE MODIFIED ACCORDING TO THE WISHES OF THE GUESTS. GREAT!</t>
  </si>
  <si>
    <t>vantellino.sarah@outlook.com</t>
  </si>
  <si>
    <t>GREAT FOOD QUALITY + VARIETY. BBQs WERE GREAT! VERY ATTENTIVE LODGE STAFF OVERALL.</t>
  </si>
  <si>
    <t>CHAMPIERS VANTELLINO</t>
  </si>
  <si>
    <t>SARAH VANTELLINO</t>
  </si>
  <si>
    <t>hgconnessioni.19@gmail.com</t>
  </si>
  <si>
    <t xml:space="preserve">NICOLETTA </t>
  </si>
  <si>
    <t>J &amp; P NUNNS</t>
  </si>
  <si>
    <t>nunntheless@talk21.com</t>
  </si>
  <si>
    <t>I HATE FEEDBACK FORMS. YOU SHOULD BE ABLE TO TELL FROM OUR GRINS THAT EVERYTHING HAS BEEN BRILLIANT.</t>
  </si>
  <si>
    <t>MYRON &amp; CORA</t>
  </si>
  <si>
    <t>WE ENJOYED OUR STAY! THANK YOU VERY MUCH!</t>
  </si>
  <si>
    <t>BROOKE CHILVERS</t>
  </si>
  <si>
    <t>brookechl@aol.com</t>
  </si>
  <si>
    <t>IN OUR DREAMS, WE ARE FOREVER AT BAINES.</t>
  </si>
  <si>
    <t>ISAAC SIMBEYE</t>
  </si>
  <si>
    <t>JULY</t>
  </si>
  <si>
    <t>AMAZING STAFF, NICE ROOMS. SIMPLY A WONDERFUL PLACE TO BE.</t>
  </si>
  <si>
    <t>SEAN MWENE</t>
  </si>
  <si>
    <t>liselisean@gmail.com</t>
  </si>
  <si>
    <t>isaacsimbeye@gmail.com</t>
  </si>
  <si>
    <t>I HAD A PLEASANT STAFF HERE AND I WILL DEFINITELY RECOMMEND THIS PLACE.</t>
  </si>
  <si>
    <t>EMILY MORRIS</t>
  </si>
  <si>
    <t>southlands@netactive.co.za</t>
  </si>
  <si>
    <t>JENNIFER MORRIS</t>
  </si>
  <si>
    <t>jamorris845@gmail.com</t>
  </si>
  <si>
    <t>THANKS FOR MY WONDERFUL 80TH BIRTHDAY CELEBRATION AND FOR THE GOOD CARE OF NEIL.</t>
  </si>
  <si>
    <t>MARISA MORRIS</t>
  </si>
  <si>
    <t>THANK YOU FOR A WONDERFUL MEMORY.</t>
  </si>
  <si>
    <t>VLEI BLOMMERS</t>
  </si>
  <si>
    <t>I REALLY LIKED THE ELEPHANT WALKING AROUND CAMP</t>
  </si>
  <si>
    <t>MIRIAM VAN CAMPEN</t>
  </si>
  <si>
    <t xml:space="preserve">AMAZING TIME, I LOVED IT </t>
  </si>
  <si>
    <t>ELKE BILLSTEIN</t>
  </si>
  <si>
    <t>TIKOMO QUAMBIRI!</t>
  </si>
  <si>
    <t>LEA BILLSTEIN</t>
  </si>
  <si>
    <t>THANK YOU ZIKOMO DANKE</t>
  </si>
  <si>
    <t>LISA BILLSTEIN</t>
  </si>
  <si>
    <t>THANK YOU</t>
  </si>
  <si>
    <t>MATHEUS BILLSTEIN</t>
  </si>
  <si>
    <t>THE GUIDES WESTON AND PRINCE MAKES A GREAT JOB!!!</t>
  </si>
  <si>
    <t>JEFFREY</t>
  </si>
  <si>
    <t>THANK YOU AGAIN FOR AN INCREDIBLE FEW DAYS, LOOKING FORWARD TO NEXT TIME!</t>
  </si>
  <si>
    <t>NOTHING TO COMPLAIN, EVERYTHING WAS SO WELL DONE, WE ARE SO SATISFIED! NICE PEOPLE, GOOD GUIDES, LUXURY ROOMS AND SO MUCH MORE,</t>
  </si>
  <si>
    <t>ANS STARREVELD</t>
  </si>
  <si>
    <t>BODEWIJN RUITENBURG</t>
  </si>
  <si>
    <t>FANTASTIC! THANK YOU</t>
  </si>
  <si>
    <t>MARIANNE RUITENBURG</t>
  </si>
  <si>
    <t>mmruitenburg@icloud.com</t>
  </si>
  <si>
    <t>PERFECT</t>
  </si>
  <si>
    <t>ANOUK RUITENBURG</t>
  </si>
  <si>
    <t>aaruitenburg@icloud.com</t>
  </si>
  <si>
    <t>I HAD A FANTASTIC TIME!!</t>
  </si>
  <si>
    <t>MAURITS RUITENBURG</t>
  </si>
  <si>
    <t>EMMA SEAMAN</t>
  </si>
  <si>
    <t>emma@peopleandplacestravel.com</t>
  </si>
  <si>
    <t>HAD A FANTASTIC STAY. THANK YOU SO MUCH DAVID, WESTON, GIBRES, ANDREW AND THE REST OF YOUR TEAM.</t>
  </si>
  <si>
    <t>CORALIE CURTIS</t>
  </si>
  <si>
    <t>coralie.curtis@gmail.com</t>
  </si>
  <si>
    <t>THIS HAS BEEN THE MOST SELIGHTFUL STAY. SERVICE HAS BEEN EXEMPLORY-FOOD, HOSPITALITY, DRIVES, ROOM CARE-JUST THE BEST. SPECIAL THANKS TO MOSES, LEONARD &amp; ANDREW FOR BEING SUCH WONDERFUL PEOPLE.</t>
  </si>
  <si>
    <t>annabel@aaacw.co.uk</t>
  </si>
  <si>
    <t>ANNABEL WOOD</t>
  </si>
  <si>
    <t>CAMERON WOOD</t>
  </si>
  <si>
    <t>cameron@aaacw.co.uk</t>
  </si>
  <si>
    <t>CAN I HAVE WESTON AND RAPH NEXT TIME I COME PLEASE!</t>
  </si>
  <si>
    <t>ADRIAN WOOD</t>
  </si>
  <si>
    <t>EXCELLENT GUIDING ACTIVITIES AND CO ORDINATION. GREAT LOCATION, LOVELY PEOPLE THROUGHOUT THE LODGE.</t>
  </si>
  <si>
    <t>ALISON WOOD</t>
  </si>
  <si>
    <t>alison@aaacw.co.uk</t>
  </si>
  <si>
    <t>I NEEDED MORE TIME SO I COULD HANG OUT AND ENJOY MY LOVELY ROOM.</t>
  </si>
  <si>
    <t>KENNIS WONG</t>
  </si>
  <si>
    <t>I LIKE YOU ALL! YOU ARE VERY WARM! WE HAVE BEEN TO MANY LODGES AROUND THE WORLD, BUT YOU ALL GIVE ME GOOD REASON FOR COMING BACK!</t>
  </si>
  <si>
    <t>BOB McCARTHY</t>
  </si>
  <si>
    <t>A VERY BEAUTIFUL SETTING WITH FABULOUSLY ATTENTIVE STAFF.</t>
  </si>
  <si>
    <t>PAIGE</t>
  </si>
  <si>
    <t>reservations@kafuntasafaris.com</t>
  </si>
  <si>
    <t>VERY FRIENDLY AND HELPFUL STAFF. GUIDES DON'T TALK TO GUESTS AS MUCH AS IN SOUTH LUANGWA SO IT COMES ACROSS AS SLIGHTLY UNINTRESTED. BUT IT WAS A LOVELY STAY OVERALL. THANK YOU SO MUCH.</t>
  </si>
  <si>
    <t>BEGO CONJOS</t>
  </si>
  <si>
    <t>THE LODGE IS AMAZING. WE ENJOYED A LOT.</t>
  </si>
  <si>
    <t>VEGA CONJOS</t>
  </si>
  <si>
    <t>THE PERSONAL ARE VERY FRIENDLY.</t>
  </si>
  <si>
    <t>LUCAS CONJOS</t>
  </si>
  <si>
    <t>WE HAVE FELT AT HOME,</t>
  </si>
  <si>
    <t>ALEXANDRA</t>
  </si>
  <si>
    <t>alexandravanbon@hotmail.com</t>
  </si>
  <si>
    <t>BEAUTIFUL VIEWS</t>
  </si>
  <si>
    <t>KEVIN SCOTT</t>
  </si>
  <si>
    <t>kevin_scott@shaw.ea</t>
  </si>
  <si>
    <t>ALL THE GUIDES/ DRIVERS WERE GREAT. ENJOYED THE  EFFORT BY LUKA &amp; RAPH TO FIND WILD DOGS &amp; LEOPARDS. CANOE TRIP WAS AMAZING. LEONARDS STORIES ARE AMAZING. ONE SUGGESTION TO GUIDES- TALK TO GUESTS MORE ABOUT THE PLAN</t>
  </si>
  <si>
    <t>KIARA VELLIOS</t>
  </si>
  <si>
    <t>kiaravellios@gmail.com</t>
  </si>
  <si>
    <t>ALL THE STAFF WERE VERRY ATTENTIVE AND KIND. I WAS VERY IMPRESSED BY THE GUIDES WEALTH OF KNOWLEDGE. SERVICE PEOPLE WERE ALWAYS SMILING. FELT AT HOME.</t>
  </si>
  <si>
    <t>DEBORAH CONWAY</t>
  </si>
  <si>
    <t>deborahconwayread@yahoo.com</t>
  </si>
  <si>
    <t>SYLVIA &amp; MARK LAUFFER</t>
  </si>
  <si>
    <t>sylvia.laeuffer@bluewin.cti</t>
  </si>
  <si>
    <t>THE MOST BEAUTIFUL PLACE I HAVE EVER STAYED. EVERYONE WAS SO KIND AND HELPFUL. THE RIVER TRIPS WERE ESPECIALLY LOVELY. SEEING THE WILD DOGS WAS A SPECIAL TREAT. THANK YOU TO JIMMY AND RAPHAEL WHO MADE OUR STAY SO MEMORABLE, AND ALL THE OTHER STAFF. THANKS EVERYONE. OH, AND SOME GREAT CONVERSATIONS WITH STEPHAN, ZENA AND DAVID. SORRY, NOT PROPERLY AWAKE YET.</t>
  </si>
  <si>
    <t>RUDOLF JOST</t>
  </si>
  <si>
    <t>r.jost54@outlook.de</t>
  </si>
  <si>
    <t>LIZ BROWNING</t>
  </si>
  <si>
    <t>ebroy88@otlook.com</t>
  </si>
  <si>
    <t>BRILLIANT STAFF ALL ROUND, FAULTLESS. FLEXABILITY OF ACTIVITIES WAS GREAT, ESPECIALLY BEING ABLE TO DO GAME DRIVES IN A VARIETY OF LOCATIONS. GUIDES WERE GREAT AS WELL.</t>
  </si>
  <si>
    <t>WEIRICH</t>
  </si>
  <si>
    <t>ALL GREAT, JUST NOT THE RIGHT TIME OF YEAR FOR SOMETHINGS.</t>
  </si>
  <si>
    <t>LESLEY ASTLE</t>
  </si>
  <si>
    <t>EVERTHING HAS BEEN FABULOUS.</t>
  </si>
  <si>
    <t>RICHARD ASTLE</t>
  </si>
  <si>
    <t>lesley.astle@gmail.com</t>
  </si>
  <si>
    <t>TREMENDOUS STAY THANK YOU. OUR GUIDES LUKE &amp; MOSES WERE GREAT, DAVID WAS A BRILLIANT HOST. THANK YOU.</t>
  </si>
  <si>
    <t>CAROL YUANG</t>
  </si>
  <si>
    <t>AUGUST</t>
  </si>
  <si>
    <t>WONDERFUL STAY AT BAINES RIVER CAMP. EVERTHING WAS PERFECT. THE STAFF WERE EXCELLENT, GREAT ATTENTION TO DETAIL. HIGHLY RECOMMEND THIS CAMP AND WE HOPE TO BE BACK.</t>
  </si>
  <si>
    <t>BEAUTIFUL ACCOMODATION, EXCEPTIONAL SERVICE, GREAT ATTENTION TO DETAILS. UNFORGETTABLE DINING UNDER THE STAR WITH "GUEST " ELEPHANT VISITING. WHAT AN INCREDIBLE EXPERIENCE.</t>
  </si>
  <si>
    <t>YAJUAM LI</t>
  </si>
  <si>
    <t>XIAM YUAN</t>
  </si>
  <si>
    <t>CAITLIN KHAN</t>
  </si>
  <si>
    <t>caitkhan12@gmail.com</t>
  </si>
  <si>
    <t>SHAHLID KHAN</t>
  </si>
  <si>
    <t>JAMIE KHAN</t>
  </si>
  <si>
    <t>jamie.khan0702@gmail.com</t>
  </si>
  <si>
    <t>THANK YOU SO MUCH, WHAT A BEAUTIFUL PLACE WITH BEAUTIFUL PEOPLE!!!</t>
  </si>
  <si>
    <t>KAREN KHAN</t>
  </si>
  <si>
    <t>LOVED THE STAY. STAFF ARE FANTASTIC. BEAUTIFUL CAMP, THE FOOD AND ACCOMODATION WERE FIRST CLASS. THANK YOU.</t>
  </si>
  <si>
    <t>LYDIA KHAN</t>
  </si>
  <si>
    <t>lydiakhan70@gmail.com</t>
  </si>
  <si>
    <t>THE MOST PERFECT STAY- STUNNING PLACE AND THE STAFF WERE AMAZING &amp; FRIENDLY, BOTH GUIDES AND LODGE STAFF. THANK YOU!</t>
  </si>
  <si>
    <t>CHRIS COLLIER</t>
  </si>
  <si>
    <t>ckcollier01@bigpond.com</t>
  </si>
  <si>
    <t>EVERYTHING WAS ABOVE EXPECTATIONS. ABSOLUTELY FANTASTIC EVERYTHING!! AMAZING STAFF,</t>
  </si>
  <si>
    <t>KERRY COLLIER</t>
  </si>
  <si>
    <t>WE LOVED OUR STAY, THESTAFF WERE FANTASTIC AND OUR ENTIRE EXPERIENCE COULD NOT BE FAULTED. THANK YOU.</t>
  </si>
  <si>
    <t>JAN PRUIM</t>
  </si>
  <si>
    <t>WE HAD A LOVELY STAY, WITH SOME MISS OR TIMING REGARDING THE ANIMALS. BUT THAT IS NOT YOUR FAULT. ALL IN ALL ABOVE EXPECTATIONS</t>
  </si>
  <si>
    <t>ROBIN PHILPOTT</t>
  </si>
  <si>
    <t>gr-philpott@bigpond.com.au</t>
  </si>
  <si>
    <t>THANK YOU FOR YOUR FRIENDLY AND SUPPORTIVE HOSPITALITY. OUR STAY WAS BEYOUND OUR EXPECTATIONS. WE WISHYOU ALL THE BEST AND HOPE TO SEE YOU AGAIN SOME DAY,</t>
  </si>
  <si>
    <t>GARY PHILPOTT</t>
  </si>
  <si>
    <t>BRILLIANT LOCATION AND LOVE THE DIFFERENT ACTIVITIES AVAILABLE. WE REALLY ENJOYED OUR STAY.</t>
  </si>
  <si>
    <t>RHIAN ROPER</t>
  </si>
  <si>
    <t>rhianroper@hotmail.com</t>
  </si>
  <si>
    <t>PARADISE ON THE LOWER ZAMBEZI. THANK YOU FOR A WONDERFUL STAY.</t>
  </si>
  <si>
    <t>ALLAN</t>
  </si>
  <si>
    <t>allan.schober@gmail.com</t>
  </si>
  <si>
    <t>STEVE &amp; DEBBIE NEWBOULD</t>
  </si>
  <si>
    <t>debbie@tourismblueprint.co.za</t>
  </si>
  <si>
    <t>SUCH A SPECIAL PLACE WITH SERVICE PAR EXCELLENCE. THANK YOU TO EVERYONE FOR MAKING OUR EXPERIENCE HERE SO ENJOYABLE.</t>
  </si>
  <si>
    <t>NATASHA</t>
  </si>
  <si>
    <t>tashwil@gmail.com</t>
  </si>
  <si>
    <t>DAVID MONTEIRO</t>
  </si>
  <si>
    <t>david.monteiro82@gmail.com</t>
  </si>
  <si>
    <t>NANCY &amp; JACKY VERBEEK</t>
  </si>
  <si>
    <t>WE LOVED OUR TWO GUIDES LEONARD AND MOSES. TANK YOU VERY MUCH.</t>
  </si>
  <si>
    <t>SEAN McGINLEY</t>
  </si>
  <si>
    <t>spm203@hotmail.com</t>
  </si>
  <si>
    <t>GREAT EXPERIENCE, THANK YOU! WESTON, PETER AND DAVID WERE ALL SPECTACULAR. YOUR BAKER IS TOP OF THE LINE, AND I WILL REMEMBER THE RAISIN SCONES FOR LIFE. ABSOLUTE MAGIC STAY. HOPE WE CAN COME AGAIN.</t>
  </si>
  <si>
    <t>ZAIDA McGINLEY</t>
  </si>
  <si>
    <t>zhmcginley@gmail.com</t>
  </si>
  <si>
    <t>WHAT A WONDERFUL STOP ON OUR HONEYMOON TRIP! EVERYONE WAS SO WELCOMING. EVERYTHING EXCEEDED MY EXPECTATIONS. WE'LL MISS BAINES SO MUCH! HOPE TO SEE YOU ALL AGAIN SOON. SPECIAL RECOMMENDATIONS FOR WESTON, PETER, EMMANUEL, ALEXANDER, SECURITY GUARDS AND CHEFS</t>
  </si>
  <si>
    <t>OLIVER SCOTT</t>
  </si>
  <si>
    <t>SEPTEMBER</t>
  </si>
  <si>
    <t>oliverscott414@gmail.com</t>
  </si>
  <si>
    <t>I'M VERY IMPRESSED WITH MY STAY HERE, I WILL DEFINITELY TELL MY FRIENDS ABOUT YOUR PLACE. I'LL BE BACK</t>
  </si>
  <si>
    <t>ANGEL SCOTT</t>
  </si>
  <si>
    <t>angelscott2635@gmail.com</t>
  </si>
  <si>
    <t>VERY ENJOYABLE EXPERIENCE. STAFF WAS VERY ACCOMODATING AND CATERED TO OUR NEEDS.</t>
  </si>
  <si>
    <t>BRENDA MWANZA</t>
  </si>
  <si>
    <t>bmwanza7691@gmail.com</t>
  </si>
  <si>
    <t>WE ENJOYED OUR STAY. STAFF ARE SO PLEASANT AND HELPFUL. FOOD WAS GREAT AND AMBIANCE WAS PERFECT.</t>
  </si>
  <si>
    <t>JAYDEN</t>
  </si>
  <si>
    <t>CHRIS HOBBS</t>
  </si>
  <si>
    <t>chris@hobbs.co.im</t>
  </si>
  <si>
    <t>A MORE VARIED WINE LIST WOULD BE APPRECIATED, EVEN AT AN ADDITIONAL COST.</t>
  </si>
  <si>
    <t>JOHN KERCHER</t>
  </si>
  <si>
    <t>WIFI WAS NOT USABLE IN OUR ROOM. OTHERWISE, WE LOVED IT.</t>
  </si>
  <si>
    <t>CHRISTINA KERCHER</t>
  </si>
  <si>
    <t>THE STAFF ARE TOP NOTCH AS ARE THE ROOMS. LOVED ALL THE ACTIVITIES WE DID.</t>
  </si>
  <si>
    <t>WINDHAM</t>
  </si>
  <si>
    <t>HAD AN ABSOLUTELY LOVELY TIME. THANKS</t>
  </si>
  <si>
    <t>SAFFORD</t>
  </si>
  <si>
    <t>scott@gypsyvocation.com</t>
  </si>
  <si>
    <t>SERVICE AND GUIDES WERE FANTASTIC.</t>
  </si>
  <si>
    <t>HOVING</t>
  </si>
  <si>
    <t>JANNIE</t>
  </si>
  <si>
    <t>jannie-zwart@hotmail.com</t>
  </si>
  <si>
    <t>BEAUTIFUL AND GREAT PLACE TO BE. THANK YOU SO MUCH.</t>
  </si>
  <si>
    <t>C0NNY VELLEKOOP</t>
  </si>
  <si>
    <t>cvellekoop@gmail.com</t>
  </si>
  <si>
    <t>I ENJOYRD MY STAY. FRIENDLY STAFF AND SUPER GIDE</t>
  </si>
  <si>
    <t>CARLOS</t>
  </si>
  <si>
    <t>EDWARD WILKINS</t>
  </si>
  <si>
    <t>wkknedn@wxs.nl</t>
  </si>
  <si>
    <t>MISSED THE ISLAND, LIKE THE PREVIOUS TRIP.</t>
  </si>
  <si>
    <t>VERT NICE STAFF</t>
  </si>
  <si>
    <t>GLENN FISCHER</t>
  </si>
  <si>
    <t>DANIELLE FISCHER</t>
  </si>
  <si>
    <t>AC BROKE ON THE FIRST NIGHT. OTHER THAN THAT, EVERYTHING WAS GREAT.</t>
  </si>
  <si>
    <t>LOUISE</t>
  </si>
  <si>
    <t>PREHAPS HAVING A SPARE AC COMPRESSORAVAILABLE IN THE FUTURE?</t>
  </si>
  <si>
    <t>STEFAN BRIGGMAN</t>
  </si>
  <si>
    <t>VERY NICE</t>
  </si>
  <si>
    <t>STEPHAN</t>
  </si>
  <si>
    <t>audi@topmail-jobs.de</t>
  </si>
  <si>
    <t>GEMMA</t>
  </si>
  <si>
    <t>THANK YOU SO MUCH DAVE FOR THE EYE DROPS. I HAD A LOVELY TIME AND HOPE TO BE BACK.</t>
  </si>
  <si>
    <t>MELANIE GROBLER</t>
  </si>
  <si>
    <t>THANK YOU FOR A SPOILY HOLIDAY!</t>
  </si>
  <si>
    <t>W GROBLER</t>
  </si>
  <si>
    <t>THANK YOU FOR THE GLUTEN FREE CATERING.</t>
  </si>
  <si>
    <t>FAEHRE</t>
  </si>
  <si>
    <t>THANK YOU SO MUCH, HAD A WONDERFUL STAY.</t>
  </si>
  <si>
    <t>PAM IRELAND</t>
  </si>
  <si>
    <t>pamireland@aol.com</t>
  </si>
  <si>
    <t>WESTON AND PETER WERE WONDERFUL. ALL STAFF AND MANAGEMENT EXCEEDED EXPECTATIONS. HOPING TO RETURN!</t>
  </si>
  <si>
    <t>NAN NELSON</t>
  </si>
  <si>
    <t>inthesea53@gmail.com</t>
  </si>
  <si>
    <t>WHAT A WAY TO END OUR TRIP. THE BEST OF OUR LODGES (BUT DON'T TELL THE OTHERS)</t>
  </si>
  <si>
    <t>ANDREW</t>
  </si>
  <si>
    <t>johnsonsugar1@gmail.com</t>
  </si>
  <si>
    <t>SVEN TURNER</t>
  </si>
  <si>
    <t>THANKS FOR AN EPIC STAY.CAN'T WAIT TO BE BACK.</t>
  </si>
  <si>
    <t>CHRIS DE ZEEUW</t>
  </si>
  <si>
    <t>chris@capisol.co.za</t>
  </si>
  <si>
    <t>AWESOME TIME. THANK YOU FOR LOOKING AFTER US SO WELL.</t>
  </si>
  <si>
    <t>aucamp@arabians@gmail.com</t>
  </si>
  <si>
    <t>ONGELOOFLIK LODGE. UITSTEKEND DIENS.</t>
  </si>
  <si>
    <t>HENRIHET AUCAMP</t>
  </si>
  <si>
    <t>TARA</t>
  </si>
  <si>
    <t>EVERYONE IS SO FRIENDLY AND HOSPITABLE</t>
  </si>
  <si>
    <t>CATIANA</t>
  </si>
  <si>
    <t>LOVELY STAY. STAFF WERE KNOWLEDGEABLE AND SO ATTENTIVE-THANK YOU!</t>
  </si>
  <si>
    <t>ANT COLLETT</t>
  </si>
  <si>
    <t>STEFAN, ZENA AND DAVID, YOU HAVE ALL LOOKED AFTER US SO SO VERY WELL. BAINES IS ALWAYS WONDERFUL BUT SEEMS TO GET BETTER EVERY TRIP.</t>
  </si>
  <si>
    <t>ADRIAN PALMER</t>
  </si>
  <si>
    <t>palmofski@hotmail.com</t>
  </si>
  <si>
    <t>WHOLE EXPERIENCE, APART FROM THE FISHING, HAS BEEN NOTHING SHORT OF FANTASTIC.</t>
  </si>
  <si>
    <t>CLARE PALMER</t>
  </si>
  <si>
    <t>A FABULOUS HOLIDAY</t>
  </si>
  <si>
    <t>DAVE LEWIS</t>
  </si>
  <si>
    <t>david.lewis21@hotmail.com</t>
  </si>
  <si>
    <t>EVERY SINGLE THING ABOUT BAINES IS OF THE HIGHEST STANDARD. SEE YOU NEXT YEAR.</t>
  </si>
  <si>
    <t>TIM BUTLER</t>
  </si>
  <si>
    <t>tim.butler9@btinternet.com</t>
  </si>
  <si>
    <t>EXCEPTIONAL</t>
  </si>
  <si>
    <t>J BUTLER</t>
  </si>
  <si>
    <t>butjamger@aol.com</t>
  </si>
  <si>
    <t>MY TRIP HERE WILL LIVE LONG IN MY MEMORY. I HOPE TO BE BACK SOON.</t>
  </si>
  <si>
    <t>BILL SMITH</t>
  </si>
  <si>
    <t>168subs1@pm.me</t>
  </si>
  <si>
    <t>AN ABSOLUTE PLEASURE. BETTER THAN EXPECTED, EVERYTHING WAS AS GOOD AS HUMANELY POSSIBLE.</t>
  </si>
  <si>
    <t>JANET GAVIN</t>
  </si>
  <si>
    <t>gavinjan@yahoo.co.uk</t>
  </si>
  <si>
    <t>EXCEPTIONAL IN EVERY WAY-THANK YOU.</t>
  </si>
  <si>
    <t>SIAN HENSON</t>
  </si>
  <si>
    <t>EVERYTHING WAS JUST PERFECT. LUCKY TO HAVE STAYED IN SUCH AN OUTSTANDING LODGE</t>
  </si>
  <si>
    <t>PHILIP HENSON</t>
  </si>
  <si>
    <t>DIANE WREN</t>
  </si>
  <si>
    <t>dianewren1929@gmail.com</t>
  </si>
  <si>
    <t>LOVED, LOVED, LOVED OUR WHOLE EXPERIENCE WITH BAINES RIVER CAMP</t>
  </si>
  <si>
    <t>RUSSELL ALDRED</t>
  </si>
  <si>
    <t>ra@russellaldred.com.au</t>
  </si>
  <si>
    <t>THE SERVICE ETHIC-THE "EXTRA MILE" IS OUTSTANDING AT BAINES</t>
  </si>
  <si>
    <t>M ALDRED</t>
  </si>
  <si>
    <t>OUTSTANDING EXPERIENCE. ONLY ADDITION WOULD BE A BASIC GYM.</t>
  </si>
  <si>
    <t>DANIEL ALDRED</t>
  </si>
  <si>
    <t>danaldred@gmail.com</t>
  </si>
  <si>
    <t>AMAZING TEAM OF STAFF</t>
  </si>
  <si>
    <t>JUDY ALDRED</t>
  </si>
  <si>
    <t>judy@russellaldred.com.au</t>
  </si>
  <si>
    <t>ALL FANTASTIC, GREAT STAY</t>
  </si>
  <si>
    <t>GERT ERASMUS</t>
  </si>
  <si>
    <t>gert.erasmus@hutch.com</t>
  </si>
  <si>
    <t>THOROUGHLY ENJOYED OUR STAY</t>
  </si>
  <si>
    <t>KEITH GLANCEY</t>
  </si>
  <si>
    <t>VERY HAPPY TO RETURN IN THE FUTURE</t>
  </si>
  <si>
    <t>KAY ALLEN</t>
  </si>
  <si>
    <t>kay.allan1@bigpond.com</t>
  </si>
  <si>
    <t>WILL TELL ALL OUR FRIENDS ABOUT BAINES</t>
  </si>
  <si>
    <t>SHELLEY</t>
  </si>
  <si>
    <t>shelleyalan@bigpond,com</t>
  </si>
  <si>
    <t>HAD A WONDERFUL TIME-WILL BE BACK</t>
  </si>
  <si>
    <t>CLAYTON ALLAN</t>
  </si>
  <si>
    <t>cjsalt333@gmail.com</t>
  </si>
  <si>
    <t>THANK YOU FOR AN AWESOME EXPERIENCE</t>
  </si>
  <si>
    <t>CYNTHIA POOL</t>
  </si>
  <si>
    <t>cynar1959@msn.com</t>
  </si>
  <si>
    <t>YOUR STAFF ARE TOP NOTCH, ALWAYS WILLING TO HELP. AMAZING VARIETY OF FOOD</t>
  </si>
  <si>
    <t>JIM POOL</t>
  </si>
  <si>
    <t>ONLY REASON FOR GOOD ON FOOD IS, ITS WAY TO FANCY FOR MY TASTE.</t>
  </si>
  <si>
    <t>HUGO BUYS</t>
  </si>
  <si>
    <t>NATALIE OTOOLE</t>
  </si>
  <si>
    <t>YOUR STAFF ARE THE BEST IN THE WORLD. THANK YOU FOR EVERYTHING YOU HAVE DONE FOR US.</t>
  </si>
  <si>
    <t>MAX</t>
  </si>
  <si>
    <t>BEST PLACE TO BE AT ALONG THE ZAMBEZI</t>
  </si>
  <si>
    <t>XANDER SCHOEMAN</t>
  </si>
  <si>
    <t>CAROLYN</t>
  </si>
  <si>
    <t>carolynpag@outlook.com</t>
  </si>
  <si>
    <t>BEST HOLIDAY EVER</t>
  </si>
  <si>
    <t>WILLIAM COE</t>
  </si>
  <si>
    <t>OCTOBER</t>
  </si>
  <si>
    <t>dancoe60@gmail.com</t>
  </si>
  <si>
    <t>FANTASTIC!</t>
  </si>
  <si>
    <t>KARL</t>
  </si>
  <si>
    <t>kbird1984@gmail.com</t>
  </si>
  <si>
    <t>EXCELLENT TRIP. FANTASTIC LODGE, EVEN BETTER STAFF. TRULY 5* EXPERIENCE.</t>
  </si>
  <si>
    <t>PETER</t>
  </si>
  <si>
    <t>A POOL TABLE WOULD BE GOOD.</t>
  </si>
  <si>
    <t>SANDRA</t>
  </si>
  <si>
    <t>I HAVE HAD THE TIME OF MY LIFE. THIS PLACE IS MAGICAL AND I WILL CHERISH THE MEMORIES FOR THE REST OF MY LIFE.</t>
  </si>
  <si>
    <t>SUDAN</t>
  </si>
  <si>
    <t>sudan.n@gmail.com</t>
  </si>
  <si>
    <t>KEEP UP THE GOOD WORK. HOPE TO BE BACK SOON. PRINCE WAS EXCELLENT.</t>
  </si>
  <si>
    <t>MARCIA</t>
  </si>
  <si>
    <t>marciabarends@gmail.com</t>
  </si>
  <si>
    <t>STUNNING LODGE, INCREDIBLE CUSTOMER SERVICE, EXCEPTIONAL FOOD!</t>
  </si>
  <si>
    <t>ILYAS PATEL</t>
  </si>
  <si>
    <t>ilyas.patel@firstrand.co.za</t>
  </si>
  <si>
    <t>THIS IS PROBALY/ ACTUALLY THE MOST AMAZING PLACE.</t>
  </si>
  <si>
    <t>CRAIG</t>
  </si>
  <si>
    <t>IT WAS A SPECTACULAR STAY. THE SETTING IS SO SPECIAL. THE GUIDES AND STAFF ARE AMAZING.</t>
  </si>
  <si>
    <t>ELIZABETH STRINGER</t>
  </si>
  <si>
    <t>elizabethmstringer@gmail.com</t>
  </si>
  <si>
    <t>PAULA</t>
  </si>
  <si>
    <t>NORBET GROBE</t>
  </si>
  <si>
    <t>THANK YOU FOR A WONDERFUL WEEKEND. ZENA, STEPHAN AND DAVID, YOU AND YOUR TEAM ARE AMAZING.</t>
  </si>
  <si>
    <t>norbet.grobe@t-online.de</t>
  </si>
  <si>
    <t>EVERYTHING WAS FINE. THANK YOU VERY MUCH!</t>
  </si>
  <si>
    <t>ELKE GROBE</t>
  </si>
  <si>
    <t>elke.grobe@t-online.de</t>
  </si>
  <si>
    <t>THANK YOU FOR OUR WONDERFUL STAY BECAUSE OF THE PERFECT HOSPITALITY!</t>
  </si>
  <si>
    <t>S ACKHURST</t>
  </si>
  <si>
    <t>MARTIN SACTOR</t>
  </si>
  <si>
    <t>SIMPLY THE BEST</t>
  </si>
  <si>
    <t>ASHLEY YOUNG</t>
  </si>
  <si>
    <t>ashsept12ember@gmail.com</t>
  </si>
  <si>
    <t>WHAT CAN ONE SAY, "EXCELLENT ALL ROUND". A MOST ENJOYABLE EXPERIENCE. HIGHLY RECOMMENDED.</t>
  </si>
  <si>
    <t>BOGUS DAVID</t>
  </si>
  <si>
    <t>IT WAS AN AMAZING PLACE TO STAY!</t>
  </si>
  <si>
    <t>ROGER VAN TEYENS</t>
  </si>
  <si>
    <t>CLEAN THE MOULD IN THE SHOWERS. SINK FAUCETS TOO SHORT. CLEAN SPIDERWEBS</t>
  </si>
  <si>
    <t>RICHARD BEAUCHESNE</t>
  </si>
  <si>
    <t xml:space="preserve">ONLY NEGETAIVE WAS THE OTHER CAMP'S VEHICLE CHASING THE WILD DOGS. </t>
  </si>
  <si>
    <t>DONNA BEAUCHESNE</t>
  </si>
  <si>
    <t>IT WOULD BE NICE TO HAVE SHELVES OR A STORAGE CABINET IN THE ROOM. BEST FOOD IN THE 3 LODGES WE STAYED.</t>
  </si>
  <si>
    <t>ANNE VAN TEYENS</t>
  </si>
  <si>
    <t>vanteyens@gmail.com</t>
  </si>
  <si>
    <t>SPEEDY LAUNDRY SERVICE WAS GREAT.</t>
  </si>
  <si>
    <t>TOUZE CARINE</t>
  </si>
  <si>
    <t>carinerem@yahoo.fr</t>
  </si>
  <si>
    <t>AMAZING STAY, EVERYTHING PERFECT. THANKS A LOT.</t>
  </si>
  <si>
    <t>CLINTON YOUNG</t>
  </si>
  <si>
    <t>clinton.botswana@yahoo.com</t>
  </si>
  <si>
    <t>GREAT EXPERIENCE, FRIENDLY STAFF, KNOWLEDGEABLE GUIDES, EXCELLENT FOOD. HIGHLY RECOMMENDED!</t>
  </si>
  <si>
    <t>TOUZE</t>
  </si>
  <si>
    <t>touzealexis@yahoo.fr</t>
  </si>
  <si>
    <t>PERFECT!</t>
  </si>
  <si>
    <t>GARATE CASTOR</t>
  </si>
  <si>
    <t>SPECIAL MENTION TO GUIDES LUKE AND RAPHAEL. GREAT WORK AND LOTS OF FUN.</t>
  </si>
  <si>
    <t>GERARDO SUBIZA</t>
  </si>
  <si>
    <t>gsubiza@yahoo.com</t>
  </si>
  <si>
    <t>THE COFFEE IS BAD QUALITY</t>
  </si>
  <si>
    <t>BEATRICE AGENA</t>
  </si>
  <si>
    <t>COFFEE COULD BE BETTER QUALITY=GROUND COFFEE, NO INSTANT.</t>
  </si>
  <si>
    <t>VIRGINIA DAVIDS</t>
  </si>
  <si>
    <t>AMAZING STAY, THANK YOU. WE'LL DEFINITELY BE BACK.</t>
  </si>
  <si>
    <t>BRENDAN DAVIDS</t>
  </si>
  <si>
    <t>LOVED OUR STAY. PITY THE FISHING DIDN'T CO-OPERATE. PETER AND LEONARD WERE EXCELLENT. BEAUTIFUL SETTING,</t>
  </si>
  <si>
    <t>DAVID BARRATT</t>
  </si>
  <si>
    <t>davehevbarratt@gmail.com</t>
  </si>
  <si>
    <t>THANK YOU FOR THE FABULOUS STAY. PHONE SYSTEM IN THE ROOMS WOULD MAKE WAKE UP CALLS EASIER.</t>
  </si>
  <si>
    <t>FAR TOO SHORT. SEE YOU AGAIN SOON.</t>
  </si>
  <si>
    <t>W SCHOBER</t>
  </si>
  <si>
    <t>JOHANN III SCHOBER</t>
  </si>
  <si>
    <t>JOHAN II SCHOBER</t>
  </si>
  <si>
    <t>SPIROS</t>
  </si>
  <si>
    <t>I WISH I CAUGHT MORE TIGERS</t>
  </si>
  <si>
    <t>ROSS GOLD</t>
  </si>
  <si>
    <t>WONDERFUL STAY, HOPE WE CAN COME BACK SOMEDAY.</t>
  </si>
  <si>
    <t>BERNICE DOUGHERTY</t>
  </si>
  <si>
    <t>ANDREW FIEGGEN</t>
  </si>
  <si>
    <t>afieggen35@gmail.com</t>
  </si>
  <si>
    <t>THANK YOU ALL FOR A FANTASTIC STAY.</t>
  </si>
  <si>
    <t>GUY HAYWARD</t>
  </si>
  <si>
    <t>LOVELY, HAPPY &amp; EASY STAY!! THANK YOU.</t>
  </si>
  <si>
    <t>AXEL</t>
  </si>
  <si>
    <t>axel@onofftours.com</t>
  </si>
  <si>
    <t>WE HAD ANOTHER LOVELY STAY-LEONARD AND JIMMY WERE A BRILLIANT TEAM. ALL THUMBS UP. LOOKING FORWARD TO GET BACK ASAP.</t>
  </si>
  <si>
    <t>CLAUDIA MAX</t>
  </si>
  <si>
    <t>I NEED MORE SPACE TO WRITE MY IMPRESSIONS-SEPARATE PAPER</t>
  </si>
  <si>
    <t>SATV SYVANEN</t>
  </si>
  <si>
    <t>satv.syvanen@gmail.com</t>
  </si>
  <si>
    <t>SUVI HAGSTROM</t>
  </si>
  <si>
    <t>hagstromsuvi@gmail.com</t>
  </si>
  <si>
    <t>SABINE OTTMANN</t>
  </si>
  <si>
    <t>sabine.ottmann@mack-med.de</t>
  </si>
  <si>
    <t>GREAT STAY, EXCELLENT FOOD, BEST STAFF EVER. SUPER GUIDES</t>
  </si>
  <si>
    <t xml:space="preserve"> EXCELLENT</t>
  </si>
  <si>
    <t>OLIVER MACK</t>
  </si>
  <si>
    <t>maec@mack-med.de</t>
  </si>
  <si>
    <t>ANANT GUPTA</t>
  </si>
  <si>
    <t>anant914@gmail.com</t>
  </si>
  <si>
    <t>CODY SYKES</t>
  </si>
  <si>
    <t>sykes.cody@gmail</t>
  </si>
  <si>
    <t>LOVED OUR STAY! JIMMY WAS A FANTASTIC GUIDE!</t>
  </si>
  <si>
    <t>BRYNN MULLEN</t>
  </si>
  <si>
    <t>brynnmullen@hotmail.com</t>
  </si>
  <si>
    <t>IT REALLY WAS AN EXCEPTIONAL FEW DAYS. THE STAFF ARE INCREDIBLY FRIENDLY AND PROFESSIONAL. I WILL DEFINITELY BE BACK AS WELL AS RECOMMEND BAINES TO FRIENDS.</t>
  </si>
  <si>
    <t>ANDREW MOORE</t>
  </si>
  <si>
    <t>PERFECT AND AMAZING. CAN'T WAIT TO COME BACK.</t>
  </si>
  <si>
    <t>WILL ROSS</t>
  </si>
  <si>
    <t>ENJOYABLE RELAXING STAY</t>
  </si>
  <si>
    <t>ANDRE SCHOONRAAD</t>
  </si>
  <si>
    <t>andre.schoonraad@gmail.com</t>
  </si>
  <si>
    <t xml:space="preserve">GOING TO NEED TO FIND THE TIGER (WHERE THEY WENT) DESPERATE RE SUPPLY NEEDED OR IT WILL AFFECT PEOPLE NEGATIVELY COMING TO ENJOY </t>
  </si>
  <si>
    <t>GAZET Group</t>
  </si>
  <si>
    <t>PAUL GAZET</t>
  </si>
  <si>
    <t>lukingazet@gmail.com</t>
  </si>
  <si>
    <t>SIMON KRIGE</t>
  </si>
  <si>
    <t>sjkrige@gmail.com</t>
  </si>
  <si>
    <t>LOOK FORWARD TO COMING BACK</t>
  </si>
  <si>
    <t>FRED SPENSER</t>
  </si>
  <si>
    <t>fspencer@global.co.za</t>
  </si>
  <si>
    <t>JULES GAZET</t>
  </si>
  <si>
    <t>jules.gazet@mweb.co.za</t>
  </si>
  <si>
    <t>UNFORTUNATELY FISHING WAS DISAPPOINTING.</t>
  </si>
  <si>
    <t>GUY ISLEY</t>
  </si>
  <si>
    <t>guy.isley@yahoo,com</t>
  </si>
  <si>
    <t>GARY HARWOOD</t>
  </si>
  <si>
    <t>gharwood@hklvngroup.com</t>
  </si>
  <si>
    <t>GREAT STAY BUT FISHING WAS THE WORST EVER</t>
  </si>
  <si>
    <t>LINCOLN MYBURGH</t>
  </si>
  <si>
    <t>lincolnmyburgh@gmail.com</t>
  </si>
  <si>
    <t>META IS THE GREEK WORD FOR BEYOND EXCELLENT AND YOU GUYS ARE "META"</t>
  </si>
  <si>
    <t>NEIL FRONTONE</t>
  </si>
  <si>
    <t>WILL LOVE TO COME BACK. GREAT TIME</t>
  </si>
  <si>
    <t>OLY DODS</t>
  </si>
  <si>
    <t>otdods@iafrica.com</t>
  </si>
  <si>
    <t>SUCH A LEKKER STAY, THANKS FOR THE OFFICE SERVICES!</t>
  </si>
  <si>
    <t>MIKE &amp; ALEX HANKIRK</t>
  </si>
  <si>
    <t>NOVEMBER</t>
  </si>
  <si>
    <t>hankirks@gmail.com</t>
  </si>
  <si>
    <t>STAFF WERE FANTASTIC FROM THE MANAGERS, GUIDES TO THE SERVICE STAFF.</t>
  </si>
  <si>
    <t>BECKMENN</t>
  </si>
  <si>
    <t>crosscountry@airsafaris.co.za</t>
  </si>
  <si>
    <t>GREAT STAY!</t>
  </si>
  <si>
    <t>JOHN FOUNTAIN</t>
  </si>
  <si>
    <t>jhf@fountaincapital.com</t>
  </si>
  <si>
    <t>OUTSTANDING</t>
  </si>
  <si>
    <t>ACQUISTO</t>
  </si>
  <si>
    <t>gio@katchmi.co.za</t>
  </si>
  <si>
    <t>VERY RARE THAT ALL THE BOXES ARE TICKED. WELL DONE GUYS</t>
  </si>
  <si>
    <t>GLENN STUTCHBERRY</t>
  </si>
  <si>
    <t>glenn.stutchberry@gmail.com</t>
  </si>
  <si>
    <t>RICHARD LEWIS</t>
  </si>
  <si>
    <t>A REALLY GREAT STAY IN A FANTASTIC SETTING. FIRST CLASS</t>
  </si>
  <si>
    <t>BRIAN RODGERS</t>
  </si>
  <si>
    <t>AN ABSOLUTE TRIP OF A LIFETIMEAND I CAN'T RECOMMEND BAINES RIVER CAMP ENOUGH.</t>
  </si>
  <si>
    <t>CHRIS FREUND</t>
  </si>
  <si>
    <t>freundchris93@gmail.com</t>
  </si>
  <si>
    <t>WONDERFUL PLACE, A REAL TREAT TO COME HERE. FISHING TOUGH BUT THAT’S THE WAY IT GOES.</t>
  </si>
  <si>
    <t>STEVE RIGBY</t>
  </si>
  <si>
    <t>steve.rigby@me.com</t>
  </si>
  <si>
    <t>A FABULOUS TRIP MADE EVEN MORE SPECIAL WITH THE WARM WELCOME AND ATTENTIVE STAFF. XX</t>
  </si>
  <si>
    <t>RACHEL RIGBY</t>
  </si>
  <si>
    <t>A SPECIAL PLACE</t>
  </si>
  <si>
    <t>CAMERON WALKER</t>
  </si>
  <si>
    <t>cameron.james.walker@hotmail.com</t>
  </si>
  <si>
    <t>LITERALLY PERFECT-THE MOST SPECIAL TIME. WILL SEND A PROPER EMAIL TO SHOW MY THANKS FOR SURE</t>
  </si>
  <si>
    <t>MOUNTAIN</t>
  </si>
  <si>
    <t>stella@ntabaafrica.com</t>
  </si>
  <si>
    <t>GAMEVIEWING POOR.</t>
  </si>
  <si>
    <t>NOAH ROMBOLD</t>
  </si>
  <si>
    <t>noah.rumbold2@gmail.com</t>
  </si>
  <si>
    <t>AMAZING PEOPLE, AMAZING PLACE AND THE MOST AMAZING EXPERIENCE. THANK YOU BAINES' TEAM</t>
  </si>
  <si>
    <t>CHARLIE RUMBOLD</t>
  </si>
  <si>
    <t>charlierumb@icloud.com</t>
  </si>
  <si>
    <t>THE STAFF AT THIS LODGE ARE ABSOLUTELY INCREDIBLE AND THE CONDITION OF THE LODGE IS AMAZING. WILL DEFINITELY BE BACK</t>
  </si>
  <si>
    <t>JONTY RUMBOLD</t>
  </si>
  <si>
    <t>jontyrumbold92@icloud.com</t>
  </si>
  <si>
    <t>BEST LODGE I HAVE EVER STAYED AT. STAFF ATTENTION 19/10, LOCATION 10/10. WILL BE BACK.</t>
  </si>
  <si>
    <t>MICHAEL ROBINSON</t>
  </si>
  <si>
    <t>THANK YOU FOR LOOKING AFTER US.</t>
  </si>
  <si>
    <t>GAVIN LE ROUX</t>
  </si>
  <si>
    <t>gavinlr3@gmail.com</t>
  </si>
  <si>
    <t>HAD A WONDERFUL TIME. LUKE WAS VERY KNOWLEDGEABLE AND LOTS OF FUN. ALL STAFF ARE FRIENDLY AND VERY HELPFUL.</t>
  </si>
  <si>
    <t>JEREMY ROCHESTER</t>
  </si>
  <si>
    <t>jeremy@escapeflyfishing.com</t>
  </si>
  <si>
    <t>CHRIS WOOD</t>
  </si>
  <si>
    <t>chris@tigerfishingzambezi.com</t>
  </si>
  <si>
    <t>HAPPY!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</si>
</sst>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8"/>
      <name val="Calibri"/>
      <family val="2"/>
      <scheme val="minor"/>
    </font>
    <font>
      <b/>
      <sz val="11"/>
      <color theme="1"/>
      <name val="Calibri"/>
      <family val="2"/>
      <scheme val="minor"/>
    </font>
    <font>
      <i/>
      <sz val="11"/>
      <color rgb="FFFF0000"/>
      <name val="Calibri"/>
      <family val="2"/>
      <scheme val="minor"/>
    </font>
    <font>
      <u/>
      <sz val="11"/>
      <color theme="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9" tint="0.59999389629810485"/>
        <bgColor indexed="64"/>
      </patternFill>
    </fill>
    <fill>
      <patternFill patternType="solid">
        <fgColor theme="0" tint="-0.249977111117893"/>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7" fillId="0" borderId="0" applyNumberFormat="0" applyFill="0" applyBorder="0" applyAlignment="0" applyProtection="0"/>
  </cellStyleXfs>
  <cellXfs count="33">
    <xf numFmtId="0" fontId="0" fillId="0" borderId="0" xfId="0"/>
    <xf numFmtId="0" fontId="2" fillId="0" borderId="0" xfId="0" applyFont="1"/>
    <xf numFmtId="0" fontId="3" fillId="0" borderId="0" xfId="0" applyFont="1"/>
    <xf numFmtId="0" fontId="3" fillId="0" borderId="1" xfId="0" applyFont="1" applyBorder="1"/>
    <xf numFmtId="9" fontId="2" fillId="0" borderId="0" xfId="1" applyFont="1"/>
    <xf numFmtId="0" fontId="3" fillId="2" borderId="0" xfId="0" applyFont="1" applyFill="1"/>
    <xf numFmtId="0" fontId="3" fillId="3" borderId="0" xfId="0" applyFont="1" applyFill="1"/>
    <xf numFmtId="0" fontId="6" fillId="0" borderId="0" xfId="0" applyFont="1"/>
    <xf numFmtId="0" fontId="3" fillId="2" borderId="0" xfId="0" applyFont="1" applyFill="1" applyAlignment="1">
      <alignment horizontal="center"/>
    </xf>
    <xf numFmtId="0" fontId="0" fillId="0" borderId="0" xfId="0" applyAlignment="1">
      <alignment vertical="center"/>
    </xf>
    <xf numFmtId="0" fontId="5" fillId="0" borderId="0" xfId="0" applyFont="1"/>
    <xf numFmtId="0" fontId="2" fillId="4" borderId="0" xfId="0" applyFont="1" applyFill="1"/>
    <xf numFmtId="0" fontId="0" fillId="4" borderId="0" xfId="0" applyFill="1"/>
    <xf numFmtId="0" fontId="3" fillId="2" borderId="0" xfId="0" applyFont="1" applyFill="1" applyAlignment="1">
      <alignment horizontal="center" wrapText="1"/>
    </xf>
    <xf numFmtId="9" fontId="0" fillId="4" borderId="0" xfId="1" applyFont="1" applyFill="1"/>
    <xf numFmtId="9" fontId="0" fillId="0" borderId="0" xfId="1" applyFont="1"/>
    <xf numFmtId="0" fontId="0" fillId="0" borderId="1" xfId="0" applyBorder="1"/>
    <xf numFmtId="9" fontId="0" fillId="0" borderId="0" xfId="0" applyNumberFormat="1"/>
    <xf numFmtId="0" fontId="0" fillId="5" borderId="0" xfId="0" applyFill="1"/>
    <xf numFmtId="0" fontId="5" fillId="5" borderId="0" xfId="0" applyFont="1" applyFill="1"/>
    <xf numFmtId="0" fontId="5" fillId="5" borderId="0" xfId="0" applyFont="1" applyFill="1" applyAlignment="1">
      <alignment wrapText="1"/>
    </xf>
    <xf numFmtId="9" fontId="3" fillId="0" borderId="0" xfId="1" applyFont="1" applyBorder="1"/>
    <xf numFmtId="43" fontId="0" fillId="4" borderId="0" xfId="2" applyFont="1" applyFill="1"/>
    <xf numFmtId="43" fontId="0" fillId="0" borderId="0" xfId="2" applyFont="1"/>
    <xf numFmtId="0" fontId="2" fillId="0" borderId="2" xfId="0" applyFont="1" applyBorder="1"/>
    <xf numFmtId="0" fontId="3" fillId="0" borderId="2" xfId="0" applyFont="1" applyBorder="1"/>
    <xf numFmtId="0" fontId="3" fillId="2" borderId="2" xfId="0" applyFont="1" applyFill="1" applyBorder="1"/>
    <xf numFmtId="0" fontId="7" fillId="0" borderId="0" xfId="3"/>
    <xf numFmtId="0" fontId="2" fillId="3" borderId="0" xfId="0" applyFont="1" applyFill="1"/>
    <xf numFmtId="0" fontId="7" fillId="3" borderId="0" xfId="3" applyFill="1"/>
    <xf numFmtId="0" fontId="0" fillId="0" borderId="0" xfId="0" applyAlignment="1">
      <alignment horizontal="center" vertical="center"/>
    </xf>
    <xf numFmtId="0" fontId="0" fillId="0" borderId="0" xfId="0" applyAlignment="1">
      <alignment horizontal="left" vertical="center"/>
    </xf>
    <xf numFmtId="0" fontId="3" fillId="2" borderId="0" xfId="0" applyFont="1" applyFill="1" applyAlignment="1">
      <alignment horizontal="center"/>
    </xf>
  </cellXfs>
  <cellStyles count="4">
    <cellStyle name="Comma" xfId="2" builtinId="3"/>
    <cellStyle name="Hyperlink" xfId="3"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 (2)'!$H$2:$H$3</c:f>
              <c:strCache>
                <c:ptCount val="2"/>
                <c:pt idx="0">
                  <c:v>Poor</c:v>
                </c:pt>
              </c:strCache>
            </c:strRef>
          </c:tx>
          <c:spPr>
            <a:solidFill>
              <a:schemeClr val="accent1"/>
            </a:solidFill>
            <a:ln>
              <a:noFill/>
            </a:ln>
            <a:effectLst/>
          </c:spPr>
          <c:invertIfNegative val="0"/>
          <c:cat>
            <c:strRef>
              <c:f>'Sheet1 (2)'!$G$4:$G$15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(2)'!$H$4:$H$15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0-70D2-4AB6-B060-9B59F64A4D00}"/>
            </c:ext>
          </c:extLst>
        </c:ser>
        <c:ser>
          <c:idx val="1"/>
          <c:order val="1"/>
          <c:tx>
            <c:strRef>
              <c:f>'Sheet1 (2)'!$I$2:$I$3</c:f>
              <c:strCache>
                <c:ptCount val="2"/>
                <c:pt idx="0">
                  <c:v>Average</c:v>
                </c:pt>
              </c:strCache>
            </c:strRef>
          </c:tx>
          <c:spPr>
            <a:solidFill>
              <a:schemeClr val="accent2"/>
            </a:solidFill>
            <a:ln>
              <a:noFill/>
            </a:ln>
            <a:effectLst/>
          </c:spPr>
          <c:invertIfNegative val="0"/>
          <c:cat>
            <c:strRef>
              <c:f>'Sheet1 (2)'!$G$4:$G$15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(2)'!$I$4:$I$15</c:f>
              <c:numCache>
                <c:formatCode>General</c:formatCode>
                <c:ptCount val="12"/>
                <c:pt idx="4">
                  <c:v>0</c:v>
                </c:pt>
                <c:pt idx="5">
                  <c:v>1</c:v>
                </c:pt>
                <c:pt idx="6">
                  <c:v>0</c:v>
                </c:pt>
                <c:pt idx="7">
                  <c:v>0</c:v>
                </c:pt>
                <c:pt idx="8">
                  <c:v>0</c:v>
                </c:pt>
                <c:pt idx="9">
                  <c:v>0</c:v>
                </c:pt>
              </c:numCache>
            </c:numRef>
          </c:val>
          <c:extLst>
            <c:ext xmlns:c16="http://schemas.microsoft.com/office/drawing/2014/chart" uri="{C3380CC4-5D6E-409C-BE32-E72D297353CC}">
              <c16:uniqueId val="{00000001-70D2-4AB6-B060-9B59F64A4D00}"/>
            </c:ext>
          </c:extLst>
        </c:ser>
        <c:ser>
          <c:idx val="2"/>
          <c:order val="2"/>
          <c:tx>
            <c:strRef>
              <c:f>'Sheet1 (2)'!$J$2:$J$3</c:f>
              <c:strCache>
                <c:ptCount val="2"/>
                <c:pt idx="0">
                  <c:v>Good</c:v>
                </c:pt>
              </c:strCache>
            </c:strRef>
          </c:tx>
          <c:spPr>
            <a:solidFill>
              <a:schemeClr val="accent3"/>
            </a:solidFill>
            <a:ln>
              <a:noFill/>
            </a:ln>
            <a:effectLst/>
          </c:spPr>
          <c:invertIfNegative val="0"/>
          <c:cat>
            <c:strRef>
              <c:f>'Sheet1 (2)'!$G$4:$G$15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(2)'!$J$4:$J$15</c:f>
              <c:numCache>
                <c:formatCode>General</c:formatCode>
                <c:ptCount val="12"/>
                <c:pt idx="4">
                  <c:v>0</c:v>
                </c:pt>
                <c:pt idx="5">
                  <c:v>8</c:v>
                </c:pt>
                <c:pt idx="6">
                  <c:v>6</c:v>
                </c:pt>
                <c:pt idx="7">
                  <c:v>0</c:v>
                </c:pt>
                <c:pt idx="8">
                  <c:v>0</c:v>
                </c:pt>
                <c:pt idx="9">
                  <c:v>0</c:v>
                </c:pt>
              </c:numCache>
            </c:numRef>
          </c:val>
          <c:extLst>
            <c:ext xmlns:c16="http://schemas.microsoft.com/office/drawing/2014/chart" uri="{C3380CC4-5D6E-409C-BE32-E72D297353CC}">
              <c16:uniqueId val="{00000002-70D2-4AB6-B060-9B59F64A4D00}"/>
            </c:ext>
          </c:extLst>
        </c:ser>
        <c:ser>
          <c:idx val="3"/>
          <c:order val="3"/>
          <c:tx>
            <c:strRef>
              <c:f>'Sheet1 (2)'!$K$2:$K$3</c:f>
              <c:strCache>
                <c:ptCount val="2"/>
                <c:pt idx="0">
                  <c:v>Excellent</c:v>
                </c:pt>
              </c:strCache>
            </c:strRef>
          </c:tx>
          <c:spPr>
            <a:solidFill>
              <a:schemeClr val="accent4"/>
            </a:solidFill>
            <a:ln>
              <a:noFill/>
            </a:ln>
            <a:effectLst/>
          </c:spPr>
          <c:invertIfNegative val="0"/>
          <c:cat>
            <c:strRef>
              <c:f>'Sheet1 (2)'!$G$4:$G$15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(2)'!$K$4:$K$15</c:f>
              <c:numCache>
                <c:formatCode>General</c:formatCode>
                <c:ptCount val="12"/>
                <c:pt idx="4">
                  <c:v>1</c:v>
                </c:pt>
                <c:pt idx="5">
                  <c:v>38</c:v>
                </c:pt>
                <c:pt idx="6">
                  <c:v>51</c:v>
                </c:pt>
                <c:pt idx="7">
                  <c:v>0</c:v>
                </c:pt>
                <c:pt idx="8">
                  <c:v>0</c:v>
                </c:pt>
                <c:pt idx="9">
                  <c:v>0</c:v>
                </c:pt>
              </c:numCache>
            </c:numRef>
          </c:val>
          <c:extLst>
            <c:ext xmlns:c16="http://schemas.microsoft.com/office/drawing/2014/chart" uri="{C3380CC4-5D6E-409C-BE32-E72D297353CC}">
              <c16:uniqueId val="{00000003-70D2-4AB6-B060-9B59F64A4D00}"/>
            </c:ext>
          </c:extLst>
        </c:ser>
        <c:dLbls>
          <c:showLegendKey val="0"/>
          <c:showVal val="0"/>
          <c:showCatName val="0"/>
          <c:showSerName val="0"/>
          <c:showPercent val="0"/>
          <c:showBubbleSize val="0"/>
        </c:dLbls>
        <c:gapWidth val="219"/>
        <c:overlap val="-27"/>
        <c:axId val="1946714511"/>
        <c:axId val="1126362975"/>
      </c:barChart>
      <c:catAx>
        <c:axId val="194671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362975"/>
        <c:crosses val="autoZero"/>
        <c:auto val="1"/>
        <c:lblAlgn val="ctr"/>
        <c:lblOffset val="100"/>
        <c:noMultiLvlLbl val="0"/>
      </c:catAx>
      <c:valAx>
        <c:axId val="112636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14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 (2)'!$B$2:$B$3</c:f>
              <c:strCache>
                <c:ptCount val="2"/>
                <c:pt idx="0">
                  <c:v>Poor</c:v>
                </c:pt>
              </c:strCache>
            </c:strRef>
          </c:tx>
          <c:spPr>
            <a:solidFill>
              <a:schemeClr val="accent1"/>
            </a:solidFill>
            <a:ln>
              <a:noFill/>
            </a:ln>
            <a:effectLst/>
          </c:spPr>
          <c:invertIfNegative val="0"/>
          <c:cat>
            <c:strRef>
              <c:f>'Sheet1 (2)'!$A$4:$A$15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(2)'!$B$4:$B$15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0-B8F0-486B-BCD7-847B661860FB}"/>
            </c:ext>
          </c:extLst>
        </c:ser>
        <c:ser>
          <c:idx val="1"/>
          <c:order val="1"/>
          <c:tx>
            <c:strRef>
              <c:f>'Sheet1 (2)'!$C$2:$C$3</c:f>
              <c:strCache>
                <c:ptCount val="2"/>
                <c:pt idx="0">
                  <c:v>Average</c:v>
                </c:pt>
              </c:strCache>
            </c:strRef>
          </c:tx>
          <c:spPr>
            <a:solidFill>
              <a:schemeClr val="accent2"/>
            </a:solidFill>
            <a:ln>
              <a:noFill/>
            </a:ln>
            <a:effectLst/>
          </c:spPr>
          <c:invertIfNegative val="0"/>
          <c:cat>
            <c:strRef>
              <c:f>'Sheet1 (2)'!$A$4:$A$15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(2)'!$C$4:$C$15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1-B8F0-486B-BCD7-847B661860FB}"/>
            </c:ext>
          </c:extLst>
        </c:ser>
        <c:ser>
          <c:idx val="2"/>
          <c:order val="2"/>
          <c:tx>
            <c:strRef>
              <c:f>'Sheet1 (2)'!$D$2:$D$3</c:f>
              <c:strCache>
                <c:ptCount val="2"/>
                <c:pt idx="0">
                  <c:v>Good</c:v>
                </c:pt>
              </c:strCache>
            </c:strRef>
          </c:tx>
          <c:spPr>
            <a:solidFill>
              <a:schemeClr val="accent3"/>
            </a:solidFill>
            <a:ln>
              <a:noFill/>
            </a:ln>
            <a:effectLst/>
          </c:spPr>
          <c:invertIfNegative val="0"/>
          <c:cat>
            <c:strRef>
              <c:f>'Sheet1 (2)'!$A$4:$A$15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(2)'!$D$4:$D$15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2-B8F0-486B-BCD7-847B661860FB}"/>
            </c:ext>
          </c:extLst>
        </c:ser>
        <c:ser>
          <c:idx val="3"/>
          <c:order val="3"/>
          <c:tx>
            <c:strRef>
              <c:f>'Sheet1 (2)'!$E$2:$E$3</c:f>
              <c:strCache>
                <c:ptCount val="2"/>
                <c:pt idx="0">
                  <c:v>Excellent</c:v>
                </c:pt>
              </c:strCache>
            </c:strRef>
          </c:tx>
          <c:spPr>
            <a:solidFill>
              <a:schemeClr val="accent4"/>
            </a:solidFill>
            <a:ln>
              <a:noFill/>
            </a:ln>
            <a:effectLst/>
          </c:spPr>
          <c:invertIfNegative val="0"/>
          <c:cat>
            <c:strRef>
              <c:f>'Sheet1 (2)'!$A$4:$A$15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(2)'!$E$4:$E$15</c:f>
              <c:numCache>
                <c:formatCode>General</c:formatCode>
                <c:ptCount val="12"/>
                <c:pt idx="4">
                  <c:v>1</c:v>
                </c:pt>
                <c:pt idx="5">
                  <c:v>47</c:v>
                </c:pt>
                <c:pt idx="6">
                  <c:v>57</c:v>
                </c:pt>
                <c:pt idx="7">
                  <c:v>0</c:v>
                </c:pt>
                <c:pt idx="8">
                  <c:v>0</c:v>
                </c:pt>
                <c:pt idx="9">
                  <c:v>0</c:v>
                </c:pt>
              </c:numCache>
            </c:numRef>
          </c:val>
          <c:extLst>
            <c:ext xmlns:c16="http://schemas.microsoft.com/office/drawing/2014/chart" uri="{C3380CC4-5D6E-409C-BE32-E72D297353CC}">
              <c16:uniqueId val="{00000003-B8F0-486B-BCD7-847B661860FB}"/>
            </c:ext>
          </c:extLst>
        </c:ser>
        <c:dLbls>
          <c:showLegendKey val="0"/>
          <c:showVal val="0"/>
          <c:showCatName val="0"/>
          <c:showSerName val="0"/>
          <c:showPercent val="0"/>
          <c:showBubbleSize val="0"/>
        </c:dLbls>
        <c:gapWidth val="219"/>
        <c:overlap val="-27"/>
        <c:axId val="535402560"/>
        <c:axId val="436196608"/>
      </c:barChart>
      <c:catAx>
        <c:axId val="53540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96608"/>
        <c:crosses val="autoZero"/>
        <c:auto val="1"/>
        <c:lblAlgn val="ctr"/>
        <c:lblOffset val="100"/>
        <c:noMultiLvlLbl val="0"/>
      </c:catAx>
      <c:valAx>
        <c:axId val="43619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402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Activities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 (2)'!$N$2:$N$3</c:f>
              <c:strCache>
                <c:ptCount val="2"/>
                <c:pt idx="0">
                  <c:v>Poor</c:v>
                </c:pt>
              </c:strCache>
            </c:strRef>
          </c:tx>
          <c:spPr>
            <a:solidFill>
              <a:schemeClr val="accent1"/>
            </a:solidFill>
            <a:ln>
              <a:noFill/>
            </a:ln>
            <a:effectLst/>
          </c:spPr>
          <c:invertIfNegative val="0"/>
          <c:cat>
            <c:strRef>
              <c:f>'Sheet1 (2)'!$M$4:$M$15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(2)'!$N$4:$N$15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0-0E98-43A0-AFF5-B38F3A0F958F}"/>
            </c:ext>
          </c:extLst>
        </c:ser>
        <c:ser>
          <c:idx val="1"/>
          <c:order val="1"/>
          <c:tx>
            <c:strRef>
              <c:f>'Sheet1 (2)'!$O$2:$O$3</c:f>
              <c:strCache>
                <c:ptCount val="2"/>
                <c:pt idx="0">
                  <c:v>Average</c:v>
                </c:pt>
              </c:strCache>
            </c:strRef>
          </c:tx>
          <c:spPr>
            <a:solidFill>
              <a:schemeClr val="accent2"/>
            </a:solidFill>
            <a:ln>
              <a:noFill/>
            </a:ln>
            <a:effectLst/>
          </c:spPr>
          <c:invertIfNegative val="0"/>
          <c:cat>
            <c:strRef>
              <c:f>'Sheet1 (2)'!$M$4:$M$15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(2)'!$O$4:$O$15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1-0E98-43A0-AFF5-B38F3A0F958F}"/>
            </c:ext>
          </c:extLst>
        </c:ser>
        <c:ser>
          <c:idx val="2"/>
          <c:order val="2"/>
          <c:tx>
            <c:strRef>
              <c:f>'Sheet1 (2)'!$P$2:$P$3</c:f>
              <c:strCache>
                <c:ptCount val="2"/>
                <c:pt idx="0">
                  <c:v>Good</c:v>
                </c:pt>
              </c:strCache>
            </c:strRef>
          </c:tx>
          <c:spPr>
            <a:solidFill>
              <a:schemeClr val="accent3"/>
            </a:solidFill>
            <a:ln>
              <a:noFill/>
            </a:ln>
            <a:effectLst/>
          </c:spPr>
          <c:invertIfNegative val="0"/>
          <c:cat>
            <c:strRef>
              <c:f>'Sheet1 (2)'!$M$4:$M$15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(2)'!$P$4:$P$15</c:f>
              <c:numCache>
                <c:formatCode>General</c:formatCode>
                <c:ptCount val="12"/>
                <c:pt idx="4">
                  <c:v>0</c:v>
                </c:pt>
                <c:pt idx="5">
                  <c:v>2</c:v>
                </c:pt>
                <c:pt idx="6">
                  <c:v>1</c:v>
                </c:pt>
                <c:pt idx="7">
                  <c:v>0</c:v>
                </c:pt>
                <c:pt idx="8">
                  <c:v>0</c:v>
                </c:pt>
                <c:pt idx="9">
                  <c:v>0</c:v>
                </c:pt>
              </c:numCache>
            </c:numRef>
          </c:val>
          <c:extLst>
            <c:ext xmlns:c16="http://schemas.microsoft.com/office/drawing/2014/chart" uri="{C3380CC4-5D6E-409C-BE32-E72D297353CC}">
              <c16:uniqueId val="{00000002-0E98-43A0-AFF5-B38F3A0F958F}"/>
            </c:ext>
          </c:extLst>
        </c:ser>
        <c:ser>
          <c:idx val="3"/>
          <c:order val="3"/>
          <c:tx>
            <c:strRef>
              <c:f>'Sheet1 (2)'!$Q$2:$Q$3</c:f>
              <c:strCache>
                <c:ptCount val="2"/>
                <c:pt idx="0">
                  <c:v>Excellent</c:v>
                </c:pt>
              </c:strCache>
            </c:strRef>
          </c:tx>
          <c:spPr>
            <a:solidFill>
              <a:schemeClr val="accent4"/>
            </a:solidFill>
            <a:ln>
              <a:noFill/>
            </a:ln>
            <a:effectLst/>
          </c:spPr>
          <c:invertIfNegative val="0"/>
          <c:cat>
            <c:strRef>
              <c:f>'Sheet1 (2)'!$M$4:$M$15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(2)'!$Q$4:$Q$15</c:f>
              <c:numCache>
                <c:formatCode>General</c:formatCode>
                <c:ptCount val="12"/>
                <c:pt idx="4">
                  <c:v>1</c:v>
                </c:pt>
                <c:pt idx="5">
                  <c:v>45</c:v>
                </c:pt>
                <c:pt idx="6">
                  <c:v>56</c:v>
                </c:pt>
                <c:pt idx="7">
                  <c:v>0</c:v>
                </c:pt>
                <c:pt idx="8">
                  <c:v>0</c:v>
                </c:pt>
                <c:pt idx="9">
                  <c:v>0</c:v>
                </c:pt>
              </c:numCache>
            </c:numRef>
          </c:val>
          <c:extLst>
            <c:ext xmlns:c16="http://schemas.microsoft.com/office/drawing/2014/chart" uri="{C3380CC4-5D6E-409C-BE32-E72D297353CC}">
              <c16:uniqueId val="{00000003-0E98-43A0-AFF5-B38F3A0F958F}"/>
            </c:ext>
          </c:extLst>
        </c:ser>
        <c:dLbls>
          <c:showLegendKey val="0"/>
          <c:showVal val="0"/>
          <c:showCatName val="0"/>
          <c:showSerName val="0"/>
          <c:showPercent val="0"/>
          <c:showBubbleSize val="0"/>
        </c:dLbls>
        <c:gapWidth val="75"/>
        <c:overlap val="-25"/>
        <c:axId val="511925296"/>
        <c:axId val="312957920"/>
      </c:barChart>
      <c:catAx>
        <c:axId val="51192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957920"/>
        <c:crosses val="autoZero"/>
        <c:auto val="1"/>
        <c:lblAlgn val="ctr"/>
        <c:lblOffset val="100"/>
        <c:noMultiLvlLbl val="0"/>
      </c:catAx>
      <c:valAx>
        <c:axId val="312957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25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Lodge</a:t>
            </a:r>
            <a:r>
              <a:rPr lang="en-ZA" baseline="0"/>
              <a:t> Staff</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0"/>
          <c:order val="0"/>
          <c:tx>
            <c:strRef>
              <c:f>'Sheet1 (2)'!$T$2:$T$3</c:f>
              <c:strCache>
                <c:ptCount val="2"/>
                <c:pt idx="0">
                  <c:v>Poor</c:v>
                </c:pt>
              </c:strCache>
            </c:strRef>
          </c:tx>
          <c:spPr>
            <a:solidFill>
              <a:schemeClr val="accent1"/>
            </a:solidFill>
            <a:ln>
              <a:noFill/>
            </a:ln>
            <a:effectLst/>
          </c:spPr>
          <c:invertIfNegative val="0"/>
          <c:cat>
            <c:strRef>
              <c:f>'Sheet1 (2)'!$S$4:$S$15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(2)'!$T$4:$T$15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0-F429-4CBE-9FB4-AACF770AF25B}"/>
            </c:ext>
          </c:extLst>
        </c:ser>
        <c:ser>
          <c:idx val="1"/>
          <c:order val="1"/>
          <c:tx>
            <c:strRef>
              <c:f>'Sheet1 (2)'!$U$2:$U$3</c:f>
              <c:strCache>
                <c:ptCount val="2"/>
                <c:pt idx="0">
                  <c:v>Average</c:v>
                </c:pt>
              </c:strCache>
            </c:strRef>
          </c:tx>
          <c:spPr>
            <a:solidFill>
              <a:schemeClr val="accent2"/>
            </a:solidFill>
            <a:ln>
              <a:noFill/>
            </a:ln>
            <a:effectLst/>
          </c:spPr>
          <c:invertIfNegative val="0"/>
          <c:cat>
            <c:strRef>
              <c:f>'Sheet1 (2)'!$S$4:$S$15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(2)'!$U$4:$U$15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1-F429-4CBE-9FB4-AACF770AF25B}"/>
            </c:ext>
          </c:extLst>
        </c:ser>
        <c:ser>
          <c:idx val="2"/>
          <c:order val="2"/>
          <c:tx>
            <c:strRef>
              <c:f>'Sheet1 (2)'!$V$2:$V$3</c:f>
              <c:strCache>
                <c:ptCount val="2"/>
                <c:pt idx="0">
                  <c:v>Good</c:v>
                </c:pt>
              </c:strCache>
            </c:strRef>
          </c:tx>
          <c:spPr>
            <a:solidFill>
              <a:schemeClr val="accent3"/>
            </a:solidFill>
            <a:ln>
              <a:noFill/>
            </a:ln>
            <a:effectLst/>
          </c:spPr>
          <c:invertIfNegative val="0"/>
          <c:cat>
            <c:strRef>
              <c:f>'Sheet1 (2)'!$S$4:$S$15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(2)'!$V$4:$V$15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2-F429-4CBE-9FB4-AACF770AF25B}"/>
            </c:ext>
          </c:extLst>
        </c:ser>
        <c:ser>
          <c:idx val="3"/>
          <c:order val="3"/>
          <c:tx>
            <c:strRef>
              <c:f>'Sheet1 (2)'!$W$2:$W$3</c:f>
              <c:strCache>
                <c:ptCount val="2"/>
                <c:pt idx="0">
                  <c:v>Excellent</c:v>
                </c:pt>
              </c:strCache>
            </c:strRef>
          </c:tx>
          <c:spPr>
            <a:solidFill>
              <a:schemeClr val="accent4"/>
            </a:solidFill>
            <a:ln>
              <a:noFill/>
            </a:ln>
            <a:effectLst/>
          </c:spPr>
          <c:invertIfNegative val="0"/>
          <c:cat>
            <c:strRef>
              <c:f>'Sheet1 (2)'!$S$4:$S$15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(2)'!$W$4:$W$15</c:f>
              <c:numCache>
                <c:formatCode>General</c:formatCode>
                <c:ptCount val="12"/>
                <c:pt idx="4">
                  <c:v>1</c:v>
                </c:pt>
                <c:pt idx="5">
                  <c:v>47</c:v>
                </c:pt>
                <c:pt idx="6">
                  <c:v>57</c:v>
                </c:pt>
                <c:pt idx="7">
                  <c:v>0</c:v>
                </c:pt>
                <c:pt idx="8">
                  <c:v>0</c:v>
                </c:pt>
                <c:pt idx="9">
                  <c:v>0</c:v>
                </c:pt>
              </c:numCache>
            </c:numRef>
          </c:val>
          <c:extLst>
            <c:ext xmlns:c16="http://schemas.microsoft.com/office/drawing/2014/chart" uri="{C3380CC4-5D6E-409C-BE32-E72D297353CC}">
              <c16:uniqueId val="{00000003-F429-4CBE-9FB4-AACF770AF25B}"/>
            </c:ext>
          </c:extLst>
        </c:ser>
        <c:dLbls>
          <c:showLegendKey val="0"/>
          <c:showVal val="0"/>
          <c:showCatName val="0"/>
          <c:showSerName val="0"/>
          <c:showPercent val="0"/>
          <c:showBubbleSize val="0"/>
        </c:dLbls>
        <c:gapWidth val="75"/>
        <c:overlap val="-25"/>
        <c:axId val="1209650576"/>
        <c:axId val="312956928"/>
      </c:barChart>
      <c:catAx>
        <c:axId val="120965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956928"/>
        <c:crosses val="autoZero"/>
        <c:auto val="1"/>
        <c:lblAlgn val="ctr"/>
        <c:lblOffset val="100"/>
        <c:noMultiLvlLbl val="0"/>
      </c:catAx>
      <c:valAx>
        <c:axId val="31295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650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Accomodation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 (2)'!$Z$2:$Z$3</c:f>
              <c:strCache>
                <c:ptCount val="2"/>
                <c:pt idx="0">
                  <c:v>Poor</c:v>
                </c:pt>
              </c:strCache>
            </c:strRef>
          </c:tx>
          <c:spPr>
            <a:solidFill>
              <a:schemeClr val="accent1"/>
            </a:solidFill>
            <a:ln>
              <a:noFill/>
            </a:ln>
            <a:effectLst/>
          </c:spPr>
          <c:invertIfNegative val="0"/>
          <c:cat>
            <c:strRef>
              <c:f>'Sheet1 (2)'!$Y$4:$Y$15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(2)'!$Z$4:$Z$15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0-25A0-404F-A690-5E3410E2E194}"/>
            </c:ext>
          </c:extLst>
        </c:ser>
        <c:ser>
          <c:idx val="1"/>
          <c:order val="1"/>
          <c:tx>
            <c:strRef>
              <c:f>'Sheet1 (2)'!$AA$2:$AA$3</c:f>
              <c:strCache>
                <c:ptCount val="2"/>
                <c:pt idx="0">
                  <c:v>Average</c:v>
                </c:pt>
              </c:strCache>
            </c:strRef>
          </c:tx>
          <c:spPr>
            <a:solidFill>
              <a:schemeClr val="accent2"/>
            </a:solidFill>
            <a:ln>
              <a:noFill/>
            </a:ln>
            <a:effectLst/>
          </c:spPr>
          <c:invertIfNegative val="0"/>
          <c:cat>
            <c:strRef>
              <c:f>'Sheet1 (2)'!$Y$4:$Y$15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(2)'!$AA$4:$AA$15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1-25A0-404F-A690-5E3410E2E194}"/>
            </c:ext>
          </c:extLst>
        </c:ser>
        <c:ser>
          <c:idx val="2"/>
          <c:order val="2"/>
          <c:tx>
            <c:strRef>
              <c:f>'Sheet1 (2)'!$AB$2:$AB$3</c:f>
              <c:strCache>
                <c:ptCount val="2"/>
                <c:pt idx="0">
                  <c:v>Good</c:v>
                </c:pt>
              </c:strCache>
            </c:strRef>
          </c:tx>
          <c:spPr>
            <a:solidFill>
              <a:schemeClr val="accent3"/>
            </a:solidFill>
            <a:ln>
              <a:noFill/>
            </a:ln>
            <a:effectLst/>
          </c:spPr>
          <c:invertIfNegative val="0"/>
          <c:cat>
            <c:strRef>
              <c:f>'Sheet1 (2)'!$Y$4:$Y$15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(2)'!$AB$4:$AB$15</c:f>
              <c:numCache>
                <c:formatCode>General</c:formatCode>
                <c:ptCount val="12"/>
                <c:pt idx="4">
                  <c:v>0</c:v>
                </c:pt>
                <c:pt idx="5">
                  <c:v>1</c:v>
                </c:pt>
                <c:pt idx="6">
                  <c:v>3</c:v>
                </c:pt>
                <c:pt idx="7">
                  <c:v>0</c:v>
                </c:pt>
                <c:pt idx="8">
                  <c:v>0</c:v>
                </c:pt>
                <c:pt idx="9">
                  <c:v>0</c:v>
                </c:pt>
              </c:numCache>
            </c:numRef>
          </c:val>
          <c:extLst>
            <c:ext xmlns:c16="http://schemas.microsoft.com/office/drawing/2014/chart" uri="{C3380CC4-5D6E-409C-BE32-E72D297353CC}">
              <c16:uniqueId val="{00000002-25A0-404F-A690-5E3410E2E194}"/>
            </c:ext>
          </c:extLst>
        </c:ser>
        <c:ser>
          <c:idx val="3"/>
          <c:order val="3"/>
          <c:tx>
            <c:strRef>
              <c:f>'Sheet1 (2)'!$AC$2:$AC$3</c:f>
              <c:strCache>
                <c:ptCount val="2"/>
                <c:pt idx="0">
                  <c:v>Excellent</c:v>
                </c:pt>
              </c:strCache>
            </c:strRef>
          </c:tx>
          <c:spPr>
            <a:solidFill>
              <a:schemeClr val="accent4"/>
            </a:solidFill>
            <a:ln>
              <a:noFill/>
            </a:ln>
            <a:effectLst/>
          </c:spPr>
          <c:invertIfNegative val="0"/>
          <c:cat>
            <c:strRef>
              <c:f>'Sheet1 (2)'!$Y$4:$Y$15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(2)'!$AC$4:$AC$15</c:f>
              <c:numCache>
                <c:formatCode>General</c:formatCode>
                <c:ptCount val="12"/>
                <c:pt idx="4">
                  <c:v>1</c:v>
                </c:pt>
                <c:pt idx="5">
                  <c:v>46</c:v>
                </c:pt>
                <c:pt idx="6">
                  <c:v>54</c:v>
                </c:pt>
                <c:pt idx="7">
                  <c:v>0</c:v>
                </c:pt>
                <c:pt idx="8">
                  <c:v>0</c:v>
                </c:pt>
                <c:pt idx="9">
                  <c:v>0</c:v>
                </c:pt>
              </c:numCache>
            </c:numRef>
          </c:val>
          <c:extLst>
            <c:ext xmlns:c16="http://schemas.microsoft.com/office/drawing/2014/chart" uri="{C3380CC4-5D6E-409C-BE32-E72D297353CC}">
              <c16:uniqueId val="{00000003-25A0-404F-A690-5E3410E2E194}"/>
            </c:ext>
          </c:extLst>
        </c:ser>
        <c:dLbls>
          <c:showLegendKey val="0"/>
          <c:showVal val="0"/>
          <c:showCatName val="0"/>
          <c:showSerName val="0"/>
          <c:showPercent val="0"/>
          <c:showBubbleSize val="0"/>
        </c:dLbls>
        <c:gapWidth val="219"/>
        <c:overlap val="-27"/>
        <c:axId val="509717936"/>
        <c:axId val="514705088"/>
      </c:barChart>
      <c:catAx>
        <c:axId val="5097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05088"/>
        <c:crosses val="autoZero"/>
        <c:auto val="1"/>
        <c:lblAlgn val="ctr"/>
        <c:lblOffset val="100"/>
        <c:noMultiLvlLbl val="0"/>
      </c:catAx>
      <c:valAx>
        <c:axId val="51470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717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Overall</a:t>
            </a:r>
            <a:r>
              <a:rPr lang="en-ZA" baseline="0"/>
              <a:t> Stay</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0"/>
          <c:order val="0"/>
          <c:tx>
            <c:strRef>
              <c:f>'Sheet1 (2)'!$AG$2:$AG$3</c:f>
              <c:strCache>
                <c:ptCount val="2"/>
                <c:pt idx="0">
                  <c:v>Poor</c:v>
                </c:pt>
              </c:strCache>
            </c:strRef>
          </c:tx>
          <c:spPr>
            <a:solidFill>
              <a:schemeClr val="accent1"/>
            </a:solidFill>
            <a:ln>
              <a:noFill/>
            </a:ln>
            <a:effectLst/>
          </c:spPr>
          <c:invertIfNegative val="0"/>
          <c:cat>
            <c:strRef>
              <c:f>'Sheet1 (2)'!$AF$4:$AF$15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(2)'!$AG$4:$AG$15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0-EFA6-4B1C-98A5-362D38989FD6}"/>
            </c:ext>
          </c:extLst>
        </c:ser>
        <c:ser>
          <c:idx val="1"/>
          <c:order val="1"/>
          <c:tx>
            <c:strRef>
              <c:f>'Sheet1 (2)'!$AH$2:$AH$3</c:f>
              <c:strCache>
                <c:ptCount val="2"/>
                <c:pt idx="0">
                  <c:v>Average</c:v>
                </c:pt>
              </c:strCache>
            </c:strRef>
          </c:tx>
          <c:spPr>
            <a:solidFill>
              <a:schemeClr val="accent2"/>
            </a:solidFill>
            <a:ln>
              <a:noFill/>
            </a:ln>
            <a:effectLst/>
          </c:spPr>
          <c:invertIfNegative val="0"/>
          <c:cat>
            <c:strRef>
              <c:f>'Sheet1 (2)'!$AF$4:$AF$15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(2)'!$AH$4:$AH$15</c:f>
              <c:numCache>
                <c:formatCode>General</c:formatCode>
                <c:ptCount val="12"/>
                <c:pt idx="4">
                  <c:v>0</c:v>
                </c:pt>
                <c:pt idx="5">
                  <c:v>0</c:v>
                </c:pt>
                <c:pt idx="6">
                  <c:v>0</c:v>
                </c:pt>
                <c:pt idx="7">
                  <c:v>0</c:v>
                </c:pt>
                <c:pt idx="8">
                  <c:v>0</c:v>
                </c:pt>
                <c:pt idx="9">
                  <c:v>0</c:v>
                </c:pt>
              </c:numCache>
            </c:numRef>
          </c:val>
          <c:extLst>
            <c:ext xmlns:c16="http://schemas.microsoft.com/office/drawing/2014/chart" uri="{C3380CC4-5D6E-409C-BE32-E72D297353CC}">
              <c16:uniqueId val="{00000001-EFA6-4B1C-98A5-362D38989FD6}"/>
            </c:ext>
          </c:extLst>
        </c:ser>
        <c:ser>
          <c:idx val="2"/>
          <c:order val="2"/>
          <c:tx>
            <c:strRef>
              <c:f>'Sheet1 (2)'!$AI$2:$AI$3</c:f>
              <c:strCache>
                <c:ptCount val="2"/>
                <c:pt idx="0">
                  <c:v>Good</c:v>
                </c:pt>
              </c:strCache>
            </c:strRef>
          </c:tx>
          <c:spPr>
            <a:solidFill>
              <a:schemeClr val="accent3"/>
            </a:solidFill>
            <a:ln>
              <a:noFill/>
            </a:ln>
            <a:effectLst/>
          </c:spPr>
          <c:invertIfNegative val="0"/>
          <c:cat>
            <c:strRef>
              <c:f>'Sheet1 (2)'!$AF$4:$AF$15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(2)'!$AI$4:$AI$15</c:f>
              <c:numCache>
                <c:formatCode>General</c:formatCode>
                <c:ptCount val="12"/>
                <c:pt idx="4">
                  <c:v>0</c:v>
                </c:pt>
                <c:pt idx="5">
                  <c:v>0</c:v>
                </c:pt>
                <c:pt idx="6">
                  <c:v>1</c:v>
                </c:pt>
                <c:pt idx="7">
                  <c:v>0</c:v>
                </c:pt>
                <c:pt idx="8">
                  <c:v>0</c:v>
                </c:pt>
                <c:pt idx="9">
                  <c:v>0</c:v>
                </c:pt>
              </c:numCache>
            </c:numRef>
          </c:val>
          <c:extLst>
            <c:ext xmlns:c16="http://schemas.microsoft.com/office/drawing/2014/chart" uri="{C3380CC4-5D6E-409C-BE32-E72D297353CC}">
              <c16:uniqueId val="{00000002-EFA6-4B1C-98A5-362D38989FD6}"/>
            </c:ext>
          </c:extLst>
        </c:ser>
        <c:ser>
          <c:idx val="3"/>
          <c:order val="3"/>
          <c:tx>
            <c:strRef>
              <c:f>'Sheet1 (2)'!$AJ$2:$AJ$3</c:f>
              <c:strCache>
                <c:ptCount val="2"/>
                <c:pt idx="0">
                  <c:v>Excellent</c:v>
                </c:pt>
              </c:strCache>
            </c:strRef>
          </c:tx>
          <c:spPr>
            <a:solidFill>
              <a:schemeClr val="accent4"/>
            </a:solidFill>
            <a:ln>
              <a:noFill/>
            </a:ln>
            <a:effectLst/>
          </c:spPr>
          <c:invertIfNegative val="0"/>
          <c:cat>
            <c:strRef>
              <c:f>'Sheet1 (2)'!$AF$4:$AF$15</c:f>
              <c:strCache>
                <c:ptCount val="12"/>
                <c:pt idx="0">
                  <c:v>Janaury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 (2)'!$AJ$4:$AJ$15</c:f>
              <c:numCache>
                <c:formatCode>General</c:formatCode>
                <c:ptCount val="12"/>
                <c:pt idx="4">
                  <c:v>1</c:v>
                </c:pt>
                <c:pt idx="5">
                  <c:v>47</c:v>
                </c:pt>
                <c:pt idx="6">
                  <c:v>56</c:v>
                </c:pt>
                <c:pt idx="7">
                  <c:v>0</c:v>
                </c:pt>
                <c:pt idx="8">
                  <c:v>0</c:v>
                </c:pt>
                <c:pt idx="9">
                  <c:v>0</c:v>
                </c:pt>
              </c:numCache>
            </c:numRef>
          </c:val>
          <c:extLst>
            <c:ext xmlns:c16="http://schemas.microsoft.com/office/drawing/2014/chart" uri="{C3380CC4-5D6E-409C-BE32-E72D297353CC}">
              <c16:uniqueId val="{0000000A-4947-4181-8CB6-6A35B0D93CA0}"/>
            </c:ext>
          </c:extLst>
        </c:ser>
        <c:dLbls>
          <c:showLegendKey val="0"/>
          <c:showVal val="0"/>
          <c:showCatName val="0"/>
          <c:showSerName val="0"/>
          <c:showPercent val="0"/>
          <c:showBubbleSize val="0"/>
        </c:dLbls>
        <c:gapWidth val="219"/>
        <c:overlap val="-27"/>
        <c:axId val="1212049616"/>
        <c:axId val="1499606928"/>
      </c:barChart>
      <c:catAx>
        <c:axId val="121204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06928"/>
        <c:crosses val="autoZero"/>
        <c:auto val="1"/>
        <c:lblAlgn val="ctr"/>
        <c:lblOffset val="100"/>
        <c:noMultiLvlLbl val="0"/>
      </c:catAx>
      <c:valAx>
        <c:axId val="149960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049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452933</xdr:colOff>
      <xdr:row>16</xdr:row>
      <xdr:rowOff>99060</xdr:rowOff>
    </xdr:from>
    <xdr:to>
      <xdr:col>9</xdr:col>
      <xdr:colOff>1051560</xdr:colOff>
      <xdr:row>29</xdr:row>
      <xdr:rowOff>49530</xdr:rowOff>
    </xdr:to>
    <xdr:graphicFrame macro="">
      <xdr:nvGraphicFramePr>
        <xdr:cNvPr id="2" name="Chart 1">
          <a:extLst>
            <a:ext uri="{FF2B5EF4-FFF2-40B4-BE49-F238E27FC236}">
              <a16:creationId xmlns:a16="http://schemas.microsoft.com/office/drawing/2014/main" id="{B7AB821B-2AED-FFD4-91E7-C55121BD0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16</xdr:row>
      <xdr:rowOff>87630</xdr:rowOff>
    </xdr:from>
    <xdr:to>
      <xdr:col>5</xdr:col>
      <xdr:colOff>213360</xdr:colOff>
      <xdr:row>29</xdr:row>
      <xdr:rowOff>38100</xdr:rowOff>
    </xdr:to>
    <xdr:graphicFrame macro="">
      <xdr:nvGraphicFramePr>
        <xdr:cNvPr id="4" name="Chart 3">
          <a:extLst>
            <a:ext uri="{FF2B5EF4-FFF2-40B4-BE49-F238E27FC236}">
              <a16:creationId xmlns:a16="http://schemas.microsoft.com/office/drawing/2014/main" id="{93910821-DED4-119F-1606-43CF3494B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29</xdr:row>
      <xdr:rowOff>179070</xdr:rowOff>
    </xdr:from>
    <xdr:to>
      <xdr:col>5</xdr:col>
      <xdr:colOff>213360</xdr:colOff>
      <xdr:row>43</xdr:row>
      <xdr:rowOff>7620</xdr:rowOff>
    </xdr:to>
    <xdr:graphicFrame macro="">
      <xdr:nvGraphicFramePr>
        <xdr:cNvPr id="6" name="Chart 5">
          <a:extLst>
            <a:ext uri="{FF2B5EF4-FFF2-40B4-BE49-F238E27FC236}">
              <a16:creationId xmlns:a16="http://schemas.microsoft.com/office/drawing/2014/main" id="{F947F6F9-CFDE-A5A3-6E44-6F4F2645F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481736</xdr:colOff>
      <xdr:row>29</xdr:row>
      <xdr:rowOff>179070</xdr:rowOff>
    </xdr:from>
    <xdr:to>
      <xdr:col>9</xdr:col>
      <xdr:colOff>1022756</xdr:colOff>
      <xdr:row>43</xdr:row>
      <xdr:rowOff>7620</xdr:rowOff>
    </xdr:to>
    <xdr:graphicFrame macro="">
      <xdr:nvGraphicFramePr>
        <xdr:cNvPr id="7" name="Chart 6">
          <a:extLst>
            <a:ext uri="{FF2B5EF4-FFF2-40B4-BE49-F238E27FC236}">
              <a16:creationId xmlns:a16="http://schemas.microsoft.com/office/drawing/2014/main" id="{FB11B9A5-5393-ACEB-4804-ABBD60F49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137160</xdr:colOff>
      <xdr:row>43</xdr:row>
      <xdr:rowOff>171450</xdr:rowOff>
    </xdr:from>
    <xdr:to>
      <xdr:col>5</xdr:col>
      <xdr:colOff>213360</xdr:colOff>
      <xdr:row>57</xdr:row>
      <xdr:rowOff>7620</xdr:rowOff>
    </xdr:to>
    <xdr:graphicFrame macro="">
      <xdr:nvGraphicFramePr>
        <xdr:cNvPr id="8" name="Chart 7">
          <a:extLst>
            <a:ext uri="{FF2B5EF4-FFF2-40B4-BE49-F238E27FC236}">
              <a16:creationId xmlns:a16="http://schemas.microsoft.com/office/drawing/2014/main" id="{5E10E5A2-8E5F-8A9F-A148-A451BCF3B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481736</xdr:colOff>
      <xdr:row>44</xdr:row>
      <xdr:rowOff>26670</xdr:rowOff>
    </xdr:from>
    <xdr:to>
      <xdr:col>9</xdr:col>
      <xdr:colOff>1022756</xdr:colOff>
      <xdr:row>57</xdr:row>
      <xdr:rowOff>38100</xdr:rowOff>
    </xdr:to>
    <xdr:graphicFrame macro="">
      <xdr:nvGraphicFramePr>
        <xdr:cNvPr id="9" name="Chart 8">
          <a:extLst>
            <a:ext uri="{FF2B5EF4-FFF2-40B4-BE49-F238E27FC236}">
              <a16:creationId xmlns:a16="http://schemas.microsoft.com/office/drawing/2014/main" id="{21E4D8C0-2275-1169-F7EF-9699E2ACA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carolynpag@outlook.com" TargetMode="External"/><Relationship Id="rId21" Type="http://schemas.openxmlformats.org/officeDocument/2006/relationships/hyperlink" Target="mailto:korendanby@aol,com" TargetMode="External"/><Relationship Id="rId42" Type="http://schemas.openxmlformats.org/officeDocument/2006/relationships/hyperlink" Target="mailto:shannonwalker@hotmail.com" TargetMode="External"/><Relationship Id="rId63" Type="http://schemas.openxmlformats.org/officeDocument/2006/relationships/hyperlink" Target="mailto:cameron@aaacw.co.uk" TargetMode="External"/><Relationship Id="rId84" Type="http://schemas.openxmlformats.org/officeDocument/2006/relationships/hyperlink" Target="mailto:tashwil@gmail.com" TargetMode="External"/><Relationship Id="rId138" Type="http://schemas.openxmlformats.org/officeDocument/2006/relationships/hyperlink" Target="mailto:maec@mack-med.de" TargetMode="External"/><Relationship Id="rId159" Type="http://schemas.openxmlformats.org/officeDocument/2006/relationships/hyperlink" Target="mailto:stella@ntabaafrica.com" TargetMode="External"/><Relationship Id="rId107" Type="http://schemas.openxmlformats.org/officeDocument/2006/relationships/hyperlink" Target="mailto:gavinjan@yahoo.co.uk" TargetMode="External"/><Relationship Id="rId11" Type="http://schemas.openxmlformats.org/officeDocument/2006/relationships/hyperlink" Target="mailto:ngerber@concordcranes.com" TargetMode="External"/><Relationship Id="rId32" Type="http://schemas.openxmlformats.org/officeDocument/2006/relationships/hyperlink" Target="mailto:jin@insightfulmes.com" TargetMode="External"/><Relationship Id="rId53" Type="http://schemas.openxmlformats.org/officeDocument/2006/relationships/hyperlink" Target="mailto:isaacsimbeye@gmail.com" TargetMode="External"/><Relationship Id="rId74" Type="http://schemas.openxmlformats.org/officeDocument/2006/relationships/hyperlink" Target="mailto:caitkhan12@gmail.com" TargetMode="External"/><Relationship Id="rId128" Type="http://schemas.openxmlformats.org/officeDocument/2006/relationships/hyperlink" Target="mailto:carinerem@yahoo.fr" TargetMode="External"/><Relationship Id="rId149" Type="http://schemas.openxmlformats.org/officeDocument/2006/relationships/hyperlink" Target="mailto:lincolnmyburgh@gmail.com" TargetMode="External"/><Relationship Id="rId5" Type="http://schemas.openxmlformats.org/officeDocument/2006/relationships/hyperlink" Target="mailto:saitonorm@gmail.com" TargetMode="External"/><Relationship Id="rId95" Type="http://schemas.openxmlformats.org/officeDocument/2006/relationships/hyperlink" Target="mailto:wkknedn@wxs.nl" TargetMode="External"/><Relationship Id="rId160" Type="http://schemas.openxmlformats.org/officeDocument/2006/relationships/hyperlink" Target="mailto:noah.rumbold2@gmail.com" TargetMode="External"/><Relationship Id="rId22" Type="http://schemas.openxmlformats.org/officeDocument/2006/relationships/hyperlink" Target="mailto:danbyn@aol" TargetMode="External"/><Relationship Id="rId43" Type="http://schemas.openxmlformats.org/officeDocument/2006/relationships/hyperlink" Target="mailto:tom_walker40@hotmail.com" TargetMode="External"/><Relationship Id="rId64" Type="http://schemas.openxmlformats.org/officeDocument/2006/relationships/hyperlink" Target="mailto:alison@aaacw.co.uk" TargetMode="External"/><Relationship Id="rId118" Type="http://schemas.openxmlformats.org/officeDocument/2006/relationships/hyperlink" Target="mailto:dancoe60@gmail.com" TargetMode="External"/><Relationship Id="rId139" Type="http://schemas.openxmlformats.org/officeDocument/2006/relationships/hyperlink" Target="mailto:anant914@gmail.com" TargetMode="External"/><Relationship Id="rId85" Type="http://schemas.openxmlformats.org/officeDocument/2006/relationships/hyperlink" Target="mailto:david.monteiro82@gmail.com" TargetMode="External"/><Relationship Id="rId150" Type="http://schemas.openxmlformats.org/officeDocument/2006/relationships/hyperlink" Target="mailto:otdods@iafrica.com" TargetMode="External"/><Relationship Id="rId12" Type="http://schemas.openxmlformats.org/officeDocument/2006/relationships/hyperlink" Target="mailto:wayne@concordcranes.com" TargetMode="External"/><Relationship Id="rId17" Type="http://schemas.openxmlformats.org/officeDocument/2006/relationships/hyperlink" Target="mailto:naiksohini@hotmal.com" TargetMode="External"/><Relationship Id="rId33" Type="http://schemas.openxmlformats.org/officeDocument/2006/relationships/hyperlink" Target="mailto:mike@insightfulmes.com" TargetMode="External"/><Relationship Id="rId38" Type="http://schemas.openxmlformats.org/officeDocument/2006/relationships/hyperlink" Target="mailto:leslie@mttsafaris.com" TargetMode="External"/><Relationship Id="rId59" Type="http://schemas.openxmlformats.org/officeDocument/2006/relationships/hyperlink" Target="mailto:aaruitenburg@icloud.com" TargetMode="External"/><Relationship Id="rId103" Type="http://schemas.openxmlformats.org/officeDocument/2006/relationships/hyperlink" Target="mailto:david.lewis21@hotmail.com" TargetMode="External"/><Relationship Id="rId108" Type="http://schemas.openxmlformats.org/officeDocument/2006/relationships/hyperlink" Target="mailto:dianewren1929@gmail.com" TargetMode="External"/><Relationship Id="rId124" Type="http://schemas.openxmlformats.org/officeDocument/2006/relationships/hyperlink" Target="mailto:norbet.grobe@t-online.de" TargetMode="External"/><Relationship Id="rId129" Type="http://schemas.openxmlformats.org/officeDocument/2006/relationships/hyperlink" Target="mailto:clinton.botswana@yahoo.com" TargetMode="External"/><Relationship Id="rId54" Type="http://schemas.openxmlformats.org/officeDocument/2006/relationships/hyperlink" Target="mailto:liselisean@gmail.com" TargetMode="External"/><Relationship Id="rId70" Type="http://schemas.openxmlformats.org/officeDocument/2006/relationships/hyperlink" Target="mailto:sylvia.laeuffer@bluewin.cti" TargetMode="External"/><Relationship Id="rId75" Type="http://schemas.openxmlformats.org/officeDocument/2006/relationships/hyperlink" Target="mailto:jamie.khan0702@gmail.com" TargetMode="External"/><Relationship Id="rId91" Type="http://schemas.openxmlformats.org/officeDocument/2006/relationships/hyperlink" Target="mailto:chris@hobbs.co.im" TargetMode="External"/><Relationship Id="rId96" Type="http://schemas.openxmlformats.org/officeDocument/2006/relationships/hyperlink" Target="mailto:audi@topmail-jobs.de" TargetMode="External"/><Relationship Id="rId140" Type="http://schemas.openxmlformats.org/officeDocument/2006/relationships/hyperlink" Target="mailto:sykes.cody@gmail" TargetMode="External"/><Relationship Id="rId145" Type="http://schemas.openxmlformats.org/officeDocument/2006/relationships/hyperlink" Target="mailto:fspencer@global.co.za" TargetMode="External"/><Relationship Id="rId161" Type="http://schemas.openxmlformats.org/officeDocument/2006/relationships/hyperlink" Target="mailto:charlierumb@icloud.com" TargetMode="External"/><Relationship Id="rId166" Type="http://schemas.openxmlformats.org/officeDocument/2006/relationships/printerSettings" Target="../printerSettings/printerSettings1.bin"/><Relationship Id="rId1" Type="http://schemas.openxmlformats.org/officeDocument/2006/relationships/hyperlink" Target="mailto:enrico.menzolini@iceaspa.it" TargetMode="External"/><Relationship Id="rId6" Type="http://schemas.openxmlformats.org/officeDocument/2006/relationships/hyperlink" Target="mailto:bigone40225@hotmail.com" TargetMode="External"/><Relationship Id="rId23" Type="http://schemas.openxmlformats.org/officeDocument/2006/relationships/hyperlink" Target="mailto:danbya@aol.com" TargetMode="External"/><Relationship Id="rId28" Type="http://schemas.openxmlformats.org/officeDocument/2006/relationships/hyperlink" Target="mailto:graycaw@gmail.com" TargetMode="External"/><Relationship Id="rId49" Type="http://schemas.openxmlformats.org/officeDocument/2006/relationships/hyperlink" Target="mailto:vantellino.sarah@outlook.com" TargetMode="External"/><Relationship Id="rId114" Type="http://schemas.openxmlformats.org/officeDocument/2006/relationships/hyperlink" Target="mailto:shelleyalan@bigpond,com" TargetMode="External"/><Relationship Id="rId119" Type="http://schemas.openxmlformats.org/officeDocument/2006/relationships/hyperlink" Target="mailto:kbird1984@gmail.com" TargetMode="External"/><Relationship Id="rId44" Type="http://schemas.openxmlformats.org/officeDocument/2006/relationships/hyperlink" Target="mailto:baileyshell800@gmail.com" TargetMode="External"/><Relationship Id="rId60" Type="http://schemas.openxmlformats.org/officeDocument/2006/relationships/hyperlink" Target="mailto:emma@peopleandplacestravel.com" TargetMode="External"/><Relationship Id="rId65" Type="http://schemas.openxmlformats.org/officeDocument/2006/relationships/hyperlink" Target="mailto:reservations@kafuntasafaris.com" TargetMode="External"/><Relationship Id="rId81" Type="http://schemas.openxmlformats.org/officeDocument/2006/relationships/hyperlink" Target="mailto:rhianroper@hotmail.com" TargetMode="External"/><Relationship Id="rId86" Type="http://schemas.openxmlformats.org/officeDocument/2006/relationships/hyperlink" Target="mailto:spm203@hotmail.com" TargetMode="External"/><Relationship Id="rId130" Type="http://schemas.openxmlformats.org/officeDocument/2006/relationships/hyperlink" Target="mailto:touzealexis@yahoo.fr" TargetMode="External"/><Relationship Id="rId135" Type="http://schemas.openxmlformats.org/officeDocument/2006/relationships/hyperlink" Target="mailto:satv.syvanen@gmail.com" TargetMode="External"/><Relationship Id="rId151" Type="http://schemas.openxmlformats.org/officeDocument/2006/relationships/hyperlink" Target="mailto:hankirks@gmail.com" TargetMode="External"/><Relationship Id="rId156" Type="http://schemas.openxmlformats.org/officeDocument/2006/relationships/hyperlink" Target="mailto:freundchris93@gmail.com" TargetMode="External"/><Relationship Id="rId13" Type="http://schemas.openxmlformats.org/officeDocument/2006/relationships/hyperlink" Target="mailto:robert@concordcranes.com" TargetMode="External"/><Relationship Id="rId18" Type="http://schemas.openxmlformats.org/officeDocument/2006/relationships/hyperlink" Target="mailto:shahifa@aol.com" TargetMode="External"/><Relationship Id="rId39" Type="http://schemas.openxmlformats.org/officeDocument/2006/relationships/hyperlink" Target="mailto:jcnevison@hotmail,com" TargetMode="External"/><Relationship Id="rId109" Type="http://schemas.openxmlformats.org/officeDocument/2006/relationships/hyperlink" Target="mailto:ra@russellaldred.com.au" TargetMode="External"/><Relationship Id="rId34" Type="http://schemas.openxmlformats.org/officeDocument/2006/relationships/hyperlink" Target="mailto:leza.gillman@liblink,co,zm" TargetMode="External"/><Relationship Id="rId50" Type="http://schemas.openxmlformats.org/officeDocument/2006/relationships/hyperlink" Target="mailto:hgconnessioni.19@gmail.com" TargetMode="External"/><Relationship Id="rId55" Type="http://schemas.openxmlformats.org/officeDocument/2006/relationships/hyperlink" Target="mailto:southlands@netactive.co.za" TargetMode="External"/><Relationship Id="rId76" Type="http://schemas.openxmlformats.org/officeDocument/2006/relationships/hyperlink" Target="mailto:lydiakhan70@gmail.com" TargetMode="External"/><Relationship Id="rId97" Type="http://schemas.openxmlformats.org/officeDocument/2006/relationships/hyperlink" Target="mailto:pamireland@aol.com" TargetMode="External"/><Relationship Id="rId104" Type="http://schemas.openxmlformats.org/officeDocument/2006/relationships/hyperlink" Target="mailto:tim.butler9@btinternet.com" TargetMode="External"/><Relationship Id="rId120" Type="http://schemas.openxmlformats.org/officeDocument/2006/relationships/hyperlink" Target="mailto:sudan.n@gmail.com" TargetMode="External"/><Relationship Id="rId125" Type="http://schemas.openxmlformats.org/officeDocument/2006/relationships/hyperlink" Target="mailto:elke.grobe@t-online.de" TargetMode="External"/><Relationship Id="rId141" Type="http://schemas.openxmlformats.org/officeDocument/2006/relationships/hyperlink" Target="mailto:brynnmullen@hotmail.com" TargetMode="External"/><Relationship Id="rId146" Type="http://schemas.openxmlformats.org/officeDocument/2006/relationships/hyperlink" Target="mailto:jules.gazet@mweb.co.za" TargetMode="External"/><Relationship Id="rId7" Type="http://schemas.openxmlformats.org/officeDocument/2006/relationships/hyperlink" Target="mailto:nosbach@gmail.com" TargetMode="External"/><Relationship Id="rId71" Type="http://schemas.openxmlformats.org/officeDocument/2006/relationships/hyperlink" Target="mailto:r.jost54@outlook.de" TargetMode="External"/><Relationship Id="rId92" Type="http://schemas.openxmlformats.org/officeDocument/2006/relationships/hyperlink" Target="mailto:scott@gypsyvocation.com" TargetMode="External"/><Relationship Id="rId162" Type="http://schemas.openxmlformats.org/officeDocument/2006/relationships/hyperlink" Target="mailto:jontyrumbold92@icloud.com" TargetMode="External"/><Relationship Id="rId2" Type="http://schemas.openxmlformats.org/officeDocument/2006/relationships/hyperlink" Target="mailto:patrizia_lombardi@mac.Com" TargetMode="External"/><Relationship Id="rId29" Type="http://schemas.openxmlformats.org/officeDocument/2006/relationships/hyperlink" Target="mailto:jennyandchrisgray@gmail.com" TargetMode="External"/><Relationship Id="rId24" Type="http://schemas.openxmlformats.org/officeDocument/2006/relationships/hyperlink" Target="mailto:rnwjr@aol.com" TargetMode="External"/><Relationship Id="rId40" Type="http://schemas.openxmlformats.org/officeDocument/2006/relationships/hyperlink" Target="mailto:cmazurek@verizon'net" TargetMode="External"/><Relationship Id="rId45" Type="http://schemas.openxmlformats.org/officeDocument/2006/relationships/hyperlink" Target="mailto:rogershill@sympatico.za" TargetMode="External"/><Relationship Id="rId66" Type="http://schemas.openxmlformats.org/officeDocument/2006/relationships/hyperlink" Target="mailto:alexandravanbon@hotmail.com" TargetMode="External"/><Relationship Id="rId87" Type="http://schemas.openxmlformats.org/officeDocument/2006/relationships/hyperlink" Target="mailto:zhmcginley@gmail.com" TargetMode="External"/><Relationship Id="rId110" Type="http://schemas.openxmlformats.org/officeDocument/2006/relationships/hyperlink" Target="mailto:danaldred@gmail.com" TargetMode="External"/><Relationship Id="rId115" Type="http://schemas.openxmlformats.org/officeDocument/2006/relationships/hyperlink" Target="mailto:cjsalt333@gmail.com" TargetMode="External"/><Relationship Id="rId131" Type="http://schemas.openxmlformats.org/officeDocument/2006/relationships/hyperlink" Target="mailto:gsubiza@yahoo.com" TargetMode="External"/><Relationship Id="rId136" Type="http://schemas.openxmlformats.org/officeDocument/2006/relationships/hyperlink" Target="mailto:hagstromsuvi@gmail.com" TargetMode="External"/><Relationship Id="rId157" Type="http://schemas.openxmlformats.org/officeDocument/2006/relationships/hyperlink" Target="mailto:steve.rigby@me.com" TargetMode="External"/><Relationship Id="rId61" Type="http://schemas.openxmlformats.org/officeDocument/2006/relationships/hyperlink" Target="mailto:coralie.curtis@gmail.com" TargetMode="External"/><Relationship Id="rId82" Type="http://schemas.openxmlformats.org/officeDocument/2006/relationships/hyperlink" Target="mailto:allan.schober@gmail.com" TargetMode="External"/><Relationship Id="rId152" Type="http://schemas.openxmlformats.org/officeDocument/2006/relationships/hyperlink" Target="mailto:crosscountry@airsafaris.co.za" TargetMode="External"/><Relationship Id="rId19" Type="http://schemas.openxmlformats.org/officeDocument/2006/relationships/hyperlink" Target="mailto:sejalshah@gmail.com" TargetMode="External"/><Relationship Id="rId14" Type="http://schemas.openxmlformats.org/officeDocument/2006/relationships/hyperlink" Target="mailto:lualan@concordcranes.com" TargetMode="External"/><Relationship Id="rId30" Type="http://schemas.openxmlformats.org/officeDocument/2006/relationships/hyperlink" Target="mailto:jomeistern@gmail.com" TargetMode="External"/><Relationship Id="rId35" Type="http://schemas.openxmlformats.org/officeDocument/2006/relationships/hyperlink" Target="mailto:rito.eddins@gmail.com" TargetMode="External"/><Relationship Id="rId56" Type="http://schemas.openxmlformats.org/officeDocument/2006/relationships/hyperlink" Target="mailto:jamorris845@gmail.com" TargetMode="External"/><Relationship Id="rId77" Type="http://schemas.openxmlformats.org/officeDocument/2006/relationships/hyperlink" Target="mailto:ckcollier01@bigpond.com" TargetMode="External"/><Relationship Id="rId100" Type="http://schemas.openxmlformats.org/officeDocument/2006/relationships/hyperlink" Target="mailto:chris@capisol.co.za" TargetMode="External"/><Relationship Id="rId105" Type="http://schemas.openxmlformats.org/officeDocument/2006/relationships/hyperlink" Target="mailto:butjamger@aol.com" TargetMode="External"/><Relationship Id="rId126" Type="http://schemas.openxmlformats.org/officeDocument/2006/relationships/hyperlink" Target="mailto:ashsept12ember@gmail.com" TargetMode="External"/><Relationship Id="rId147" Type="http://schemas.openxmlformats.org/officeDocument/2006/relationships/hyperlink" Target="mailto:guy.isley@yahoo,com" TargetMode="External"/><Relationship Id="rId8" Type="http://schemas.openxmlformats.org/officeDocument/2006/relationships/hyperlink" Target="mailto:schalk@erasmus.na" TargetMode="External"/><Relationship Id="rId51" Type="http://schemas.openxmlformats.org/officeDocument/2006/relationships/hyperlink" Target="mailto:nunntheless@talk21.com" TargetMode="External"/><Relationship Id="rId72" Type="http://schemas.openxmlformats.org/officeDocument/2006/relationships/hyperlink" Target="mailto:ebroy88@otlook.com" TargetMode="External"/><Relationship Id="rId93" Type="http://schemas.openxmlformats.org/officeDocument/2006/relationships/hyperlink" Target="mailto:jannie-zwart@hotmail.com" TargetMode="External"/><Relationship Id="rId98" Type="http://schemas.openxmlformats.org/officeDocument/2006/relationships/hyperlink" Target="mailto:inthesea53@gmail.com" TargetMode="External"/><Relationship Id="rId121" Type="http://schemas.openxmlformats.org/officeDocument/2006/relationships/hyperlink" Target="mailto:marciabarends@gmail.com" TargetMode="External"/><Relationship Id="rId142" Type="http://schemas.openxmlformats.org/officeDocument/2006/relationships/hyperlink" Target="mailto:andre.schoonraad@gmail.com" TargetMode="External"/><Relationship Id="rId163" Type="http://schemas.openxmlformats.org/officeDocument/2006/relationships/hyperlink" Target="mailto:gavinlr3@gmail.com" TargetMode="External"/><Relationship Id="rId3" Type="http://schemas.openxmlformats.org/officeDocument/2006/relationships/hyperlink" Target="mailto:a.boezaard@lipnmail.nl" TargetMode="External"/><Relationship Id="rId25" Type="http://schemas.openxmlformats.org/officeDocument/2006/relationships/hyperlink" Target="mailto:mamajimbo@aol,com" TargetMode="External"/><Relationship Id="rId46" Type="http://schemas.openxmlformats.org/officeDocument/2006/relationships/hyperlink" Target="mailto:pamela.southam@hotmail.co.uk" TargetMode="External"/><Relationship Id="rId67" Type="http://schemas.openxmlformats.org/officeDocument/2006/relationships/hyperlink" Target="mailto:kevin_scott@shaw.ea" TargetMode="External"/><Relationship Id="rId116" Type="http://schemas.openxmlformats.org/officeDocument/2006/relationships/hyperlink" Target="mailto:cynar1959@msn.com" TargetMode="External"/><Relationship Id="rId137" Type="http://schemas.openxmlformats.org/officeDocument/2006/relationships/hyperlink" Target="mailto:sabine.ottmann@mack-med.de" TargetMode="External"/><Relationship Id="rId158" Type="http://schemas.openxmlformats.org/officeDocument/2006/relationships/hyperlink" Target="mailto:cameron.james.walker@hotmail.com" TargetMode="External"/><Relationship Id="rId20" Type="http://schemas.openxmlformats.org/officeDocument/2006/relationships/hyperlink" Target="mailto:krishrox.shah@gmail,com" TargetMode="External"/><Relationship Id="rId41" Type="http://schemas.openxmlformats.org/officeDocument/2006/relationships/hyperlink" Target="mailto:p.s.mazurek@hotmail.com" TargetMode="External"/><Relationship Id="rId62" Type="http://schemas.openxmlformats.org/officeDocument/2006/relationships/hyperlink" Target="mailto:annabel@aaacw.co.uk" TargetMode="External"/><Relationship Id="rId83" Type="http://schemas.openxmlformats.org/officeDocument/2006/relationships/hyperlink" Target="mailto:debbie@tourismblueprint.co.za" TargetMode="External"/><Relationship Id="rId88" Type="http://schemas.openxmlformats.org/officeDocument/2006/relationships/hyperlink" Target="mailto:oliverscott414@gmail.com" TargetMode="External"/><Relationship Id="rId111" Type="http://schemas.openxmlformats.org/officeDocument/2006/relationships/hyperlink" Target="mailto:judy@russellaldred.com.au" TargetMode="External"/><Relationship Id="rId132" Type="http://schemas.openxmlformats.org/officeDocument/2006/relationships/hyperlink" Target="mailto:davehevbarratt@gmail.com" TargetMode="External"/><Relationship Id="rId153" Type="http://schemas.openxmlformats.org/officeDocument/2006/relationships/hyperlink" Target="mailto:jhf@fountaincapital.com" TargetMode="External"/><Relationship Id="rId15" Type="http://schemas.openxmlformats.org/officeDocument/2006/relationships/hyperlink" Target="mailto:neilfurguson@iafrica.com" TargetMode="External"/><Relationship Id="rId36" Type="http://schemas.openxmlformats.org/officeDocument/2006/relationships/hyperlink" Target="mailto:christoph.feught@gmail.com" TargetMode="External"/><Relationship Id="rId57" Type="http://schemas.openxmlformats.org/officeDocument/2006/relationships/hyperlink" Target="mailto:southlands@netactive.co.za" TargetMode="External"/><Relationship Id="rId106" Type="http://schemas.openxmlformats.org/officeDocument/2006/relationships/hyperlink" Target="mailto:168subs1@pm.me" TargetMode="External"/><Relationship Id="rId127" Type="http://schemas.openxmlformats.org/officeDocument/2006/relationships/hyperlink" Target="mailto:vanteyens@gmail.com" TargetMode="External"/><Relationship Id="rId10" Type="http://schemas.openxmlformats.org/officeDocument/2006/relationships/hyperlink" Target="mailto:zelda@erasmus.na" TargetMode="External"/><Relationship Id="rId31" Type="http://schemas.openxmlformats.org/officeDocument/2006/relationships/hyperlink" Target="mailto:lessingstern@gmail.com" TargetMode="External"/><Relationship Id="rId52" Type="http://schemas.openxmlformats.org/officeDocument/2006/relationships/hyperlink" Target="mailto:brookechl@aol.com" TargetMode="External"/><Relationship Id="rId73" Type="http://schemas.openxmlformats.org/officeDocument/2006/relationships/hyperlink" Target="mailto:lesley.astle@gmail.com" TargetMode="External"/><Relationship Id="rId78" Type="http://schemas.openxmlformats.org/officeDocument/2006/relationships/hyperlink" Target="mailto:ckcollier01@bigpond.com" TargetMode="External"/><Relationship Id="rId94" Type="http://schemas.openxmlformats.org/officeDocument/2006/relationships/hyperlink" Target="mailto:cvellekoop@gmail.com" TargetMode="External"/><Relationship Id="rId99" Type="http://schemas.openxmlformats.org/officeDocument/2006/relationships/hyperlink" Target="mailto:johnsonsugar1@gmail.com" TargetMode="External"/><Relationship Id="rId101" Type="http://schemas.openxmlformats.org/officeDocument/2006/relationships/hyperlink" Target="mailto:aucamp@arabians@gmail.com" TargetMode="External"/><Relationship Id="rId122" Type="http://schemas.openxmlformats.org/officeDocument/2006/relationships/hyperlink" Target="mailto:ilyas.patel@firstrand.co.za" TargetMode="External"/><Relationship Id="rId143" Type="http://schemas.openxmlformats.org/officeDocument/2006/relationships/hyperlink" Target="mailto:lukingazet@gmail.com" TargetMode="External"/><Relationship Id="rId148" Type="http://schemas.openxmlformats.org/officeDocument/2006/relationships/hyperlink" Target="mailto:gharwood@hklvngroup.com" TargetMode="External"/><Relationship Id="rId164" Type="http://schemas.openxmlformats.org/officeDocument/2006/relationships/hyperlink" Target="mailto:jeremy@escapeflyfishing.com" TargetMode="External"/><Relationship Id="rId4" Type="http://schemas.openxmlformats.org/officeDocument/2006/relationships/hyperlink" Target="mailto:asipkes@gmail.com" TargetMode="External"/><Relationship Id="rId9" Type="http://schemas.openxmlformats.org/officeDocument/2006/relationships/hyperlink" Target="mailto:hannoe2009@gmail.com" TargetMode="External"/><Relationship Id="rId26" Type="http://schemas.openxmlformats.org/officeDocument/2006/relationships/hyperlink" Target="mailto:leannetanln@gmail.com" TargetMode="External"/><Relationship Id="rId47" Type="http://schemas.openxmlformats.org/officeDocument/2006/relationships/hyperlink" Target="mailto:vom.conijn@gmail.com" TargetMode="External"/><Relationship Id="rId68" Type="http://schemas.openxmlformats.org/officeDocument/2006/relationships/hyperlink" Target="mailto:kiaravellios@gmail.com" TargetMode="External"/><Relationship Id="rId89" Type="http://schemas.openxmlformats.org/officeDocument/2006/relationships/hyperlink" Target="mailto:angelscott2635@gmail.com" TargetMode="External"/><Relationship Id="rId112" Type="http://schemas.openxmlformats.org/officeDocument/2006/relationships/hyperlink" Target="mailto:gert.erasmus@hutch.com" TargetMode="External"/><Relationship Id="rId133" Type="http://schemas.openxmlformats.org/officeDocument/2006/relationships/hyperlink" Target="mailto:afieggen35@gmail.com" TargetMode="External"/><Relationship Id="rId154" Type="http://schemas.openxmlformats.org/officeDocument/2006/relationships/hyperlink" Target="mailto:gio@katchmi.co.za" TargetMode="External"/><Relationship Id="rId16" Type="http://schemas.openxmlformats.org/officeDocument/2006/relationships/hyperlink" Target="mailto:john@budrental.co.za" TargetMode="External"/><Relationship Id="rId37" Type="http://schemas.openxmlformats.org/officeDocument/2006/relationships/hyperlink" Target="mailto:michael@citycentre.com.au" TargetMode="External"/><Relationship Id="rId58" Type="http://schemas.openxmlformats.org/officeDocument/2006/relationships/hyperlink" Target="mailto:mmruitenburg@icloud.com" TargetMode="External"/><Relationship Id="rId79" Type="http://schemas.openxmlformats.org/officeDocument/2006/relationships/hyperlink" Target="mailto:gr-philpott@bigpond.com.au" TargetMode="External"/><Relationship Id="rId102" Type="http://schemas.openxmlformats.org/officeDocument/2006/relationships/hyperlink" Target="mailto:palmofski@hotmail.com" TargetMode="External"/><Relationship Id="rId123" Type="http://schemas.openxmlformats.org/officeDocument/2006/relationships/hyperlink" Target="mailto:elizabethmstringer@gmail.com" TargetMode="External"/><Relationship Id="rId144" Type="http://schemas.openxmlformats.org/officeDocument/2006/relationships/hyperlink" Target="mailto:sjkrige@gmail.com" TargetMode="External"/><Relationship Id="rId90" Type="http://schemas.openxmlformats.org/officeDocument/2006/relationships/hyperlink" Target="mailto:bmwanza7691@gmail.com" TargetMode="External"/><Relationship Id="rId165" Type="http://schemas.openxmlformats.org/officeDocument/2006/relationships/hyperlink" Target="mailto:chris@tigerfishingzambezi.com" TargetMode="External"/><Relationship Id="rId27" Type="http://schemas.openxmlformats.org/officeDocument/2006/relationships/hyperlink" Target="mailto:christopher.isaac.boey@gmail.com" TargetMode="External"/><Relationship Id="rId48" Type="http://schemas.openxmlformats.org/officeDocument/2006/relationships/hyperlink" Target="mailto:emmashipp167@gmail.com" TargetMode="External"/><Relationship Id="rId69" Type="http://schemas.openxmlformats.org/officeDocument/2006/relationships/hyperlink" Target="mailto:deborahconwayread@yahoo.com" TargetMode="External"/><Relationship Id="rId113" Type="http://schemas.openxmlformats.org/officeDocument/2006/relationships/hyperlink" Target="mailto:kay.allan1@bigpond.com" TargetMode="External"/><Relationship Id="rId134" Type="http://schemas.openxmlformats.org/officeDocument/2006/relationships/hyperlink" Target="mailto:axel@onofftours.com" TargetMode="External"/><Relationship Id="rId80" Type="http://schemas.openxmlformats.org/officeDocument/2006/relationships/hyperlink" Target="mailto:gr-philpott@bigpond.com.au" TargetMode="External"/><Relationship Id="rId155" Type="http://schemas.openxmlformats.org/officeDocument/2006/relationships/hyperlink" Target="mailto:glenn.stutchberry@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5E30A-5C1D-4E85-93DF-71262850BF7D}">
  <sheetPr>
    <tabColor rgb="FF00B0F0"/>
  </sheetPr>
  <dimension ref="A1:L335"/>
  <sheetViews>
    <sheetView tabSelected="1" workbookViewId="0">
      <pane ySplit="2" topLeftCell="A320" activePane="bottomLeft" state="frozen"/>
      <selection pane="bottomLeft" activeCell="A336" sqref="A336"/>
    </sheetView>
  </sheetViews>
  <sheetFormatPr defaultColWidth="8.85546875" defaultRowHeight="12.75" x14ac:dyDescent="0.2"/>
  <cols>
    <col min="1" max="1" width="24.5703125" style="1" customWidth="1"/>
    <col min="2" max="2" width="12" style="1" customWidth="1"/>
    <col min="3" max="3" width="7.42578125" style="1" hidden="1" customWidth="1"/>
    <col min="4" max="4" width="35.85546875" style="2" bestFit="1" customWidth="1"/>
    <col min="5" max="5" width="2.7109375" style="1" hidden="1" customWidth="1"/>
    <col min="6" max="11" width="13.85546875" style="1" customWidth="1"/>
    <col min="12" max="12" width="114.140625" style="2" bestFit="1" customWidth="1"/>
    <col min="13" max="13" width="17.7109375" style="1" bestFit="1" customWidth="1"/>
    <col min="14" max="14" width="10.7109375" style="1" bestFit="1" customWidth="1"/>
    <col min="15" max="16384" width="8.85546875" style="1"/>
  </cols>
  <sheetData>
    <row r="1" spans="1:12" x14ac:dyDescent="0.2">
      <c r="A1" s="1">
        <f>COUNTA(A3:A811)</f>
        <v>331</v>
      </c>
    </row>
    <row r="2" spans="1:12" s="2" customFormat="1" x14ac:dyDescent="0.2">
      <c r="A2" s="5" t="s">
        <v>0</v>
      </c>
      <c r="B2" s="5" t="s">
        <v>11</v>
      </c>
      <c r="C2" s="5" t="s">
        <v>12</v>
      </c>
      <c r="D2" s="5" t="s">
        <v>13</v>
      </c>
      <c r="E2" s="5" t="s">
        <v>28</v>
      </c>
      <c r="F2" s="5" t="s">
        <v>5</v>
      </c>
      <c r="G2" s="5" t="s">
        <v>6</v>
      </c>
      <c r="H2" s="5" t="s">
        <v>15</v>
      </c>
      <c r="I2" s="5" t="s">
        <v>7</v>
      </c>
      <c r="J2" s="5" t="s">
        <v>33</v>
      </c>
      <c r="K2" s="5" t="s">
        <v>9</v>
      </c>
      <c r="L2" s="5" t="s">
        <v>14</v>
      </c>
    </row>
    <row r="3" spans="1:12" s="2" customFormat="1" ht="6" customHeight="1" x14ac:dyDescent="0.2">
      <c r="A3" s="6"/>
      <c r="B3" s="6"/>
      <c r="C3" s="6"/>
      <c r="D3" s="6"/>
      <c r="E3" s="6"/>
      <c r="F3" s="6"/>
      <c r="G3" s="6"/>
      <c r="H3" s="6"/>
      <c r="I3" s="6"/>
      <c r="J3" s="6"/>
      <c r="K3" s="6"/>
      <c r="L3" s="6"/>
    </row>
    <row r="4" spans="1:12" x14ac:dyDescent="0.2">
      <c r="A4" s="1" t="s">
        <v>35</v>
      </c>
      <c r="B4" s="1" t="s">
        <v>36</v>
      </c>
      <c r="D4" s="2" t="s">
        <v>40</v>
      </c>
      <c r="F4" s="1" t="s">
        <v>37</v>
      </c>
      <c r="G4" s="1" t="s">
        <v>37</v>
      </c>
      <c r="H4" s="1" t="s">
        <v>37</v>
      </c>
      <c r="I4" s="1" t="s">
        <v>37</v>
      </c>
      <c r="J4" s="1" t="s">
        <v>37</v>
      </c>
      <c r="K4" s="1" t="s">
        <v>37</v>
      </c>
      <c r="L4" s="6"/>
    </row>
    <row r="5" spans="1:12" x14ac:dyDescent="0.2">
      <c r="A5" s="1" t="s">
        <v>38</v>
      </c>
      <c r="B5" s="1" t="s">
        <v>36</v>
      </c>
      <c r="D5" s="2" t="s">
        <v>39</v>
      </c>
      <c r="F5" s="1" t="s">
        <v>37</v>
      </c>
      <c r="G5" s="1" t="s">
        <v>37</v>
      </c>
      <c r="H5" s="1" t="s">
        <v>37</v>
      </c>
      <c r="I5" s="1" t="s">
        <v>37</v>
      </c>
      <c r="J5" s="1" t="s">
        <v>37</v>
      </c>
      <c r="K5" s="1" t="s">
        <v>37</v>
      </c>
      <c r="L5" s="2" t="s">
        <v>41</v>
      </c>
    </row>
    <row r="6" spans="1:12" x14ac:dyDescent="0.2">
      <c r="A6" s="1" t="s">
        <v>45</v>
      </c>
      <c r="B6" s="1" t="s">
        <v>36</v>
      </c>
      <c r="D6" s="2" t="s">
        <v>42</v>
      </c>
      <c r="F6" s="1" t="s">
        <v>37</v>
      </c>
      <c r="G6" s="1" t="s">
        <v>37</v>
      </c>
      <c r="H6" s="1" t="s">
        <v>37</v>
      </c>
      <c r="I6" s="1" t="s">
        <v>37</v>
      </c>
      <c r="J6" s="1" t="s">
        <v>37</v>
      </c>
      <c r="K6" s="1" t="s">
        <v>37</v>
      </c>
      <c r="L6" s="2" t="s">
        <v>43</v>
      </c>
    </row>
    <row r="7" spans="1:12" x14ac:dyDescent="0.2">
      <c r="A7" s="1" t="s">
        <v>44</v>
      </c>
      <c r="B7" s="1" t="s">
        <v>36</v>
      </c>
      <c r="D7" s="2" t="s">
        <v>46</v>
      </c>
      <c r="F7" s="1" t="s">
        <v>37</v>
      </c>
      <c r="G7" s="1" t="s">
        <v>37</v>
      </c>
      <c r="H7" s="1" t="s">
        <v>37</v>
      </c>
      <c r="I7" s="1" t="s">
        <v>37</v>
      </c>
      <c r="J7" s="1" t="s">
        <v>37</v>
      </c>
      <c r="K7" s="1" t="s">
        <v>37</v>
      </c>
      <c r="L7" s="2" t="s">
        <v>47</v>
      </c>
    </row>
    <row r="8" spans="1:12" x14ac:dyDescent="0.2">
      <c r="A8" s="1" t="s">
        <v>48</v>
      </c>
      <c r="B8" s="1" t="s">
        <v>36</v>
      </c>
      <c r="D8" s="2" t="s">
        <v>49</v>
      </c>
      <c r="F8" s="1" t="s">
        <v>37</v>
      </c>
      <c r="G8" s="1" t="s">
        <v>37</v>
      </c>
      <c r="H8" s="1" t="s">
        <v>37</v>
      </c>
      <c r="I8" s="1" t="s">
        <v>37</v>
      </c>
      <c r="J8" s="1" t="s">
        <v>37</v>
      </c>
      <c r="K8" s="1" t="s">
        <v>37</v>
      </c>
      <c r="L8" s="2" t="s">
        <v>50</v>
      </c>
    </row>
    <row r="9" spans="1:12" x14ac:dyDescent="0.2">
      <c r="A9" s="1" t="s">
        <v>51</v>
      </c>
      <c r="B9" s="1" t="s">
        <v>36</v>
      </c>
      <c r="D9" s="2" t="s">
        <v>52</v>
      </c>
      <c r="F9" s="1" t="s">
        <v>37</v>
      </c>
      <c r="G9" s="1" t="s">
        <v>37</v>
      </c>
      <c r="H9" s="1" t="s">
        <v>37</v>
      </c>
      <c r="I9" s="1" t="s">
        <v>37</v>
      </c>
      <c r="J9" s="1" t="s">
        <v>37</v>
      </c>
      <c r="K9" s="1" t="s">
        <v>37</v>
      </c>
      <c r="L9" s="2" t="s">
        <v>53</v>
      </c>
    </row>
    <row r="10" spans="1:12" x14ac:dyDescent="0.2">
      <c r="A10" s="1" t="s">
        <v>54</v>
      </c>
      <c r="B10" s="1" t="s">
        <v>36</v>
      </c>
      <c r="D10" s="2" t="s">
        <v>55</v>
      </c>
      <c r="F10" s="1" t="s">
        <v>37</v>
      </c>
      <c r="G10" s="1" t="s">
        <v>37</v>
      </c>
      <c r="H10" s="1" t="s">
        <v>37</v>
      </c>
      <c r="I10" s="1" t="s">
        <v>37</v>
      </c>
      <c r="J10" s="1" t="s">
        <v>37</v>
      </c>
      <c r="K10" s="1" t="s">
        <v>37</v>
      </c>
      <c r="L10" s="2" t="s">
        <v>56</v>
      </c>
    </row>
    <row r="11" spans="1:12" x14ac:dyDescent="0.2">
      <c r="A11" s="1" t="s">
        <v>57</v>
      </c>
      <c r="B11" s="1" t="s">
        <v>36</v>
      </c>
      <c r="D11" s="2" t="s">
        <v>58</v>
      </c>
      <c r="F11" s="1" t="s">
        <v>37</v>
      </c>
      <c r="G11" s="1" t="s">
        <v>37</v>
      </c>
      <c r="H11" s="1" t="s">
        <v>37</v>
      </c>
      <c r="I11" s="1" t="s">
        <v>37</v>
      </c>
      <c r="J11" s="1" t="s">
        <v>37</v>
      </c>
      <c r="K11" s="1" t="s">
        <v>37</v>
      </c>
      <c r="L11" s="6"/>
    </row>
    <row r="12" spans="1:12" x14ac:dyDescent="0.2">
      <c r="A12" s="1" t="s">
        <v>59</v>
      </c>
      <c r="B12" s="1" t="s">
        <v>36</v>
      </c>
      <c r="D12" s="2" t="s">
        <v>58</v>
      </c>
      <c r="F12" s="1" t="s">
        <v>37</v>
      </c>
      <c r="G12" s="1" t="s">
        <v>37</v>
      </c>
      <c r="H12" s="1" t="s">
        <v>37</v>
      </c>
      <c r="I12" s="1" t="s">
        <v>37</v>
      </c>
      <c r="J12" s="1" t="s">
        <v>37</v>
      </c>
      <c r="K12" s="1" t="s">
        <v>37</v>
      </c>
      <c r="L12" s="6"/>
    </row>
    <row r="13" spans="1:12" x14ac:dyDescent="0.2">
      <c r="A13" s="1" t="s">
        <v>60</v>
      </c>
      <c r="B13" s="1" t="s">
        <v>36</v>
      </c>
      <c r="D13" s="6"/>
      <c r="F13" s="1" t="s">
        <v>37</v>
      </c>
      <c r="G13" s="1" t="s">
        <v>37</v>
      </c>
      <c r="H13" s="1" t="s">
        <v>37</v>
      </c>
      <c r="I13" s="1" t="s">
        <v>37</v>
      </c>
      <c r="J13" s="1" t="s">
        <v>37</v>
      </c>
      <c r="K13" s="1" t="s">
        <v>37</v>
      </c>
      <c r="L13" s="2" t="s">
        <v>61</v>
      </c>
    </row>
    <row r="14" spans="1:12" x14ac:dyDescent="0.2">
      <c r="A14" s="1" t="s">
        <v>62</v>
      </c>
      <c r="B14" s="1" t="s">
        <v>36</v>
      </c>
      <c r="D14" s="2" t="s">
        <v>21</v>
      </c>
      <c r="F14" s="1" t="s">
        <v>37</v>
      </c>
      <c r="G14" s="1" t="s">
        <v>37</v>
      </c>
      <c r="H14" s="1" t="s">
        <v>37</v>
      </c>
      <c r="I14" s="1" t="s">
        <v>37</v>
      </c>
      <c r="J14" s="1" t="s">
        <v>37</v>
      </c>
      <c r="K14" s="1" t="s">
        <v>37</v>
      </c>
      <c r="L14" s="2" t="s">
        <v>63</v>
      </c>
    </row>
    <row r="15" spans="1:12" x14ac:dyDescent="0.2">
      <c r="A15" s="1" t="s">
        <v>64</v>
      </c>
      <c r="B15" s="1" t="s">
        <v>36</v>
      </c>
      <c r="D15" s="6"/>
      <c r="F15" s="1" t="s">
        <v>37</v>
      </c>
      <c r="G15" s="1" t="s">
        <v>37</v>
      </c>
      <c r="H15" s="1" t="s">
        <v>37</v>
      </c>
      <c r="I15" s="1" t="s">
        <v>37</v>
      </c>
      <c r="J15" s="1" t="s">
        <v>37</v>
      </c>
      <c r="K15" s="1" t="s">
        <v>37</v>
      </c>
      <c r="L15" s="6"/>
    </row>
    <row r="16" spans="1:12" x14ac:dyDescent="0.2">
      <c r="A16" s="1" t="s">
        <v>65</v>
      </c>
      <c r="B16" s="1" t="s">
        <v>36</v>
      </c>
      <c r="D16" s="2" t="s">
        <v>34</v>
      </c>
      <c r="F16" s="1" t="s">
        <v>37</v>
      </c>
      <c r="G16" s="5" t="s">
        <v>66</v>
      </c>
      <c r="H16" s="1" t="s">
        <v>37</v>
      </c>
      <c r="I16" s="1" t="s">
        <v>37</v>
      </c>
      <c r="J16" s="1" t="s">
        <v>37</v>
      </c>
      <c r="K16" s="1" t="s">
        <v>37</v>
      </c>
      <c r="L16" s="2" t="s">
        <v>67</v>
      </c>
    </row>
    <row r="17" spans="1:12" x14ac:dyDescent="0.2">
      <c r="A17" s="1" t="s">
        <v>68</v>
      </c>
      <c r="B17" s="1" t="s">
        <v>36</v>
      </c>
      <c r="D17" s="6"/>
      <c r="F17" s="1" t="s">
        <v>37</v>
      </c>
      <c r="G17" s="5" t="s">
        <v>66</v>
      </c>
      <c r="H17" s="1" t="s">
        <v>37</v>
      </c>
      <c r="I17" s="1" t="s">
        <v>37</v>
      </c>
      <c r="J17" s="1" t="s">
        <v>37</v>
      </c>
      <c r="K17" s="1" t="s">
        <v>37</v>
      </c>
      <c r="L17" s="2" t="s">
        <v>69</v>
      </c>
    </row>
    <row r="18" spans="1:12" x14ac:dyDescent="0.2">
      <c r="A18" s="1" t="s">
        <v>70</v>
      </c>
      <c r="B18" s="1" t="s">
        <v>36</v>
      </c>
      <c r="D18" s="6"/>
      <c r="F18" s="1" t="s">
        <v>37</v>
      </c>
      <c r="G18" s="5" t="s">
        <v>71</v>
      </c>
      <c r="H18" s="1" t="s">
        <v>37</v>
      </c>
      <c r="I18" s="1" t="s">
        <v>37</v>
      </c>
      <c r="J18" s="1" t="s">
        <v>37</v>
      </c>
      <c r="K18" s="1" t="s">
        <v>37</v>
      </c>
      <c r="L18" s="6"/>
    </row>
    <row r="19" spans="1:12" x14ac:dyDescent="0.2">
      <c r="A19" s="1" t="s">
        <v>72</v>
      </c>
      <c r="B19" s="1" t="s">
        <v>36</v>
      </c>
      <c r="D19" s="2" t="s">
        <v>73</v>
      </c>
      <c r="F19" s="1" t="s">
        <v>37</v>
      </c>
      <c r="G19" s="1" t="s">
        <v>37</v>
      </c>
      <c r="H19" s="1" t="s">
        <v>37</v>
      </c>
      <c r="I19" s="1" t="s">
        <v>37</v>
      </c>
      <c r="J19" s="1" t="s">
        <v>37</v>
      </c>
      <c r="K19" s="1" t="s">
        <v>37</v>
      </c>
      <c r="L19" s="2" t="s">
        <v>74</v>
      </c>
    </row>
    <row r="20" spans="1:12" x14ac:dyDescent="0.2">
      <c r="A20" s="1" t="s">
        <v>75</v>
      </c>
      <c r="B20" s="1" t="s">
        <v>36</v>
      </c>
      <c r="D20" s="2" t="s">
        <v>76</v>
      </c>
      <c r="F20" s="1" t="s">
        <v>37</v>
      </c>
      <c r="G20" s="1" t="s">
        <v>37</v>
      </c>
      <c r="H20" s="1" t="s">
        <v>37</v>
      </c>
      <c r="I20" s="1" t="s">
        <v>37</v>
      </c>
      <c r="J20" s="1" t="s">
        <v>37</v>
      </c>
      <c r="K20" s="1" t="s">
        <v>37</v>
      </c>
      <c r="L20" s="2" t="s">
        <v>77</v>
      </c>
    </row>
    <row r="21" spans="1:12" x14ac:dyDescent="0.2">
      <c r="A21" s="1" t="s">
        <v>78</v>
      </c>
      <c r="B21" s="1" t="s">
        <v>36</v>
      </c>
      <c r="D21" s="2" t="s">
        <v>79</v>
      </c>
      <c r="F21" s="1" t="s">
        <v>37</v>
      </c>
      <c r="G21" s="1" t="s">
        <v>37</v>
      </c>
      <c r="H21" s="1" t="s">
        <v>37</v>
      </c>
      <c r="I21" s="1" t="s">
        <v>37</v>
      </c>
      <c r="J21" s="1" t="s">
        <v>37</v>
      </c>
      <c r="K21" s="1" t="s">
        <v>37</v>
      </c>
      <c r="L21" s="2" t="s">
        <v>80</v>
      </c>
    </row>
    <row r="22" spans="1:12" x14ac:dyDescent="0.2">
      <c r="A22" s="1" t="s">
        <v>81</v>
      </c>
      <c r="B22" s="1" t="s">
        <v>36</v>
      </c>
      <c r="D22" s="2" t="s">
        <v>82</v>
      </c>
      <c r="F22" s="1" t="s">
        <v>37</v>
      </c>
      <c r="G22" s="1" t="s">
        <v>37</v>
      </c>
      <c r="H22" s="1" t="s">
        <v>37</v>
      </c>
      <c r="I22" s="1" t="s">
        <v>37</v>
      </c>
      <c r="J22" s="1" t="s">
        <v>37</v>
      </c>
      <c r="K22" s="1" t="s">
        <v>37</v>
      </c>
      <c r="L22" s="2" t="s">
        <v>83</v>
      </c>
    </row>
    <row r="23" spans="1:12" x14ac:dyDescent="0.2">
      <c r="A23" s="1" t="s">
        <v>84</v>
      </c>
      <c r="B23" s="1" t="s">
        <v>36</v>
      </c>
      <c r="D23" s="2" t="s">
        <v>85</v>
      </c>
      <c r="F23" s="1" t="s">
        <v>37</v>
      </c>
      <c r="G23" s="1" t="s">
        <v>37</v>
      </c>
      <c r="H23" s="1" t="s">
        <v>37</v>
      </c>
      <c r="I23" s="1" t="s">
        <v>37</v>
      </c>
      <c r="J23" s="1" t="s">
        <v>37</v>
      </c>
      <c r="K23" s="1" t="s">
        <v>37</v>
      </c>
      <c r="L23" s="2" t="s">
        <v>86</v>
      </c>
    </row>
    <row r="24" spans="1:12" x14ac:dyDescent="0.2">
      <c r="A24" s="1" t="s">
        <v>87</v>
      </c>
      <c r="B24" s="1" t="s">
        <v>36</v>
      </c>
      <c r="D24" s="6"/>
      <c r="F24" s="1" t="s">
        <v>37</v>
      </c>
      <c r="G24" s="1" t="s">
        <v>37</v>
      </c>
      <c r="H24" s="1" t="s">
        <v>37</v>
      </c>
      <c r="I24" s="1" t="s">
        <v>37</v>
      </c>
      <c r="J24" s="1" t="s">
        <v>37</v>
      </c>
      <c r="K24" s="1" t="s">
        <v>37</v>
      </c>
      <c r="L24" s="2" t="s">
        <v>88</v>
      </c>
    </row>
    <row r="25" spans="1:12" x14ac:dyDescent="0.2">
      <c r="A25" s="1" t="s">
        <v>89</v>
      </c>
      <c r="B25" s="1" t="s">
        <v>36</v>
      </c>
      <c r="D25" s="2" t="s">
        <v>90</v>
      </c>
      <c r="F25" s="1" t="s">
        <v>37</v>
      </c>
      <c r="G25" s="1" t="s">
        <v>37</v>
      </c>
      <c r="H25" s="1" t="s">
        <v>37</v>
      </c>
      <c r="I25" s="1" t="s">
        <v>37</v>
      </c>
      <c r="J25" s="1" t="s">
        <v>37</v>
      </c>
      <c r="K25" s="1" t="s">
        <v>37</v>
      </c>
      <c r="L25" s="2" t="s">
        <v>91</v>
      </c>
    </row>
    <row r="26" spans="1:12" x14ac:dyDescent="0.2">
      <c r="A26" s="1" t="s">
        <v>92</v>
      </c>
      <c r="B26" s="1" t="s">
        <v>36</v>
      </c>
      <c r="D26" s="2" t="s">
        <v>93</v>
      </c>
      <c r="F26" s="1" t="s">
        <v>37</v>
      </c>
      <c r="G26" s="1" t="s">
        <v>37</v>
      </c>
      <c r="H26" s="1" t="s">
        <v>37</v>
      </c>
      <c r="I26" s="1" t="s">
        <v>37</v>
      </c>
      <c r="J26" s="1" t="s">
        <v>37</v>
      </c>
      <c r="K26" s="1" t="s">
        <v>37</v>
      </c>
      <c r="L26" s="2" t="s">
        <v>94</v>
      </c>
    </row>
    <row r="27" spans="1:12" x14ac:dyDescent="0.2">
      <c r="A27" s="1" t="s">
        <v>95</v>
      </c>
      <c r="B27" s="1" t="s">
        <v>36</v>
      </c>
      <c r="D27" s="2" t="s">
        <v>96</v>
      </c>
      <c r="F27" s="1" t="s">
        <v>37</v>
      </c>
      <c r="G27" s="1" t="s">
        <v>37</v>
      </c>
      <c r="H27" s="1" t="s">
        <v>37</v>
      </c>
      <c r="I27" s="1" t="s">
        <v>37</v>
      </c>
      <c r="J27" s="1" t="s">
        <v>37</v>
      </c>
      <c r="K27" s="1" t="s">
        <v>37</v>
      </c>
      <c r="L27" s="2" t="s">
        <v>97</v>
      </c>
    </row>
    <row r="28" spans="1:12" x14ac:dyDescent="0.2">
      <c r="A28" s="1" t="s">
        <v>98</v>
      </c>
      <c r="B28" s="1" t="s">
        <v>36</v>
      </c>
      <c r="D28" s="2" t="s">
        <v>93</v>
      </c>
      <c r="F28" s="1" t="s">
        <v>37</v>
      </c>
      <c r="G28" s="1" t="s">
        <v>37</v>
      </c>
      <c r="H28" s="1" t="s">
        <v>37</v>
      </c>
      <c r="I28" s="1" t="s">
        <v>37</v>
      </c>
      <c r="J28" s="1" t="s">
        <v>37</v>
      </c>
      <c r="K28" s="1" t="s">
        <v>37</v>
      </c>
      <c r="L28" s="2" t="s">
        <v>99</v>
      </c>
    </row>
    <row r="29" spans="1:12" x14ac:dyDescent="0.2">
      <c r="A29" s="1" t="s">
        <v>100</v>
      </c>
      <c r="B29" s="1" t="s">
        <v>36</v>
      </c>
      <c r="D29" s="2" t="s">
        <v>101</v>
      </c>
      <c r="F29" s="1" t="s">
        <v>37</v>
      </c>
      <c r="G29" s="1" t="s">
        <v>37</v>
      </c>
      <c r="H29" s="1" t="s">
        <v>37</v>
      </c>
      <c r="I29" s="1" t="s">
        <v>37</v>
      </c>
      <c r="J29" s="1" t="s">
        <v>37</v>
      </c>
      <c r="K29" s="1" t="s">
        <v>37</v>
      </c>
      <c r="L29" s="2" t="s">
        <v>102</v>
      </c>
    </row>
    <row r="30" spans="1:12" x14ac:dyDescent="0.2">
      <c r="A30" s="1" t="s">
        <v>103</v>
      </c>
      <c r="B30" s="1" t="s">
        <v>36</v>
      </c>
      <c r="D30" s="2" t="s">
        <v>104</v>
      </c>
      <c r="F30" s="1" t="s">
        <v>37</v>
      </c>
      <c r="G30" s="1" t="s">
        <v>37</v>
      </c>
      <c r="H30" s="1" t="s">
        <v>37</v>
      </c>
      <c r="I30" s="1" t="s">
        <v>37</v>
      </c>
      <c r="J30" s="1" t="s">
        <v>37</v>
      </c>
      <c r="K30" s="1" t="s">
        <v>37</v>
      </c>
      <c r="L30" s="2" t="s">
        <v>105</v>
      </c>
    </row>
    <row r="31" spans="1:12" x14ac:dyDescent="0.2">
      <c r="A31" s="1" t="s">
        <v>106</v>
      </c>
      <c r="B31" s="1" t="s">
        <v>36</v>
      </c>
      <c r="D31" s="6"/>
      <c r="F31" s="1" t="s">
        <v>37</v>
      </c>
      <c r="G31" s="1" t="s">
        <v>37</v>
      </c>
      <c r="H31" s="5" t="s">
        <v>66</v>
      </c>
      <c r="I31" s="1" t="s">
        <v>37</v>
      </c>
      <c r="J31" s="1" t="s">
        <v>37</v>
      </c>
      <c r="K31" s="1" t="s">
        <v>37</v>
      </c>
      <c r="L31" s="2" t="s">
        <v>107</v>
      </c>
    </row>
    <row r="32" spans="1:12" x14ac:dyDescent="0.2">
      <c r="A32" s="1" t="s">
        <v>108</v>
      </c>
      <c r="B32" s="1" t="s">
        <v>36</v>
      </c>
      <c r="D32" s="2" t="s">
        <v>109</v>
      </c>
      <c r="F32" s="1" t="s">
        <v>37</v>
      </c>
      <c r="G32" s="5" t="s">
        <v>66</v>
      </c>
      <c r="H32" s="1" t="s">
        <v>37</v>
      </c>
      <c r="I32" s="1" t="s">
        <v>37</v>
      </c>
      <c r="J32" s="1" t="s">
        <v>37</v>
      </c>
      <c r="K32" s="1" t="s">
        <v>37</v>
      </c>
      <c r="L32" s="6"/>
    </row>
    <row r="33" spans="1:12" x14ac:dyDescent="0.2">
      <c r="A33" s="1" t="s">
        <v>110</v>
      </c>
      <c r="B33" s="1" t="s">
        <v>36</v>
      </c>
      <c r="D33" s="6"/>
      <c r="F33" s="1" t="s">
        <v>37</v>
      </c>
      <c r="G33" s="5" t="s">
        <v>66</v>
      </c>
      <c r="H33" s="1" t="s">
        <v>37</v>
      </c>
      <c r="I33" s="1" t="s">
        <v>37</v>
      </c>
      <c r="J33" s="1" t="s">
        <v>37</v>
      </c>
      <c r="K33" s="1" t="s">
        <v>37</v>
      </c>
      <c r="L33" s="6"/>
    </row>
    <row r="34" spans="1:12" x14ac:dyDescent="0.2">
      <c r="A34" s="1" t="s">
        <v>112</v>
      </c>
      <c r="B34" s="1" t="s">
        <v>36</v>
      </c>
      <c r="D34" s="2" t="s">
        <v>111</v>
      </c>
      <c r="F34" s="1" t="s">
        <v>37</v>
      </c>
      <c r="G34" s="5" t="s">
        <v>66</v>
      </c>
      <c r="H34" s="1" t="s">
        <v>37</v>
      </c>
      <c r="I34" s="1" t="s">
        <v>37</v>
      </c>
      <c r="J34" s="1" t="s">
        <v>37</v>
      </c>
      <c r="K34" s="1" t="s">
        <v>37</v>
      </c>
      <c r="L34" s="2" t="s">
        <v>113</v>
      </c>
    </row>
    <row r="35" spans="1:12" x14ac:dyDescent="0.2">
      <c r="A35" s="1" t="s">
        <v>114</v>
      </c>
      <c r="B35" s="1" t="s">
        <v>36</v>
      </c>
      <c r="D35" s="2" t="s">
        <v>115</v>
      </c>
      <c r="F35" s="1" t="s">
        <v>37</v>
      </c>
      <c r="G35" s="5" t="s">
        <v>66</v>
      </c>
      <c r="H35" s="1" t="s">
        <v>37</v>
      </c>
      <c r="I35" s="1" t="s">
        <v>37</v>
      </c>
      <c r="J35" s="1" t="s">
        <v>37</v>
      </c>
      <c r="K35" s="1" t="s">
        <v>37</v>
      </c>
      <c r="L35" s="6"/>
    </row>
    <row r="36" spans="1:12" x14ac:dyDescent="0.2">
      <c r="A36" s="1" t="s">
        <v>116</v>
      </c>
      <c r="B36" s="1" t="s">
        <v>36</v>
      </c>
      <c r="D36" s="2" t="s">
        <v>117</v>
      </c>
      <c r="F36" s="1" t="s">
        <v>37</v>
      </c>
      <c r="G36" s="1" t="s">
        <v>37</v>
      </c>
      <c r="H36" s="1" t="s">
        <v>37</v>
      </c>
      <c r="I36" s="1" t="s">
        <v>37</v>
      </c>
      <c r="J36" s="1" t="s">
        <v>37</v>
      </c>
      <c r="K36" s="1" t="s">
        <v>37</v>
      </c>
      <c r="L36" s="2" t="s">
        <v>118</v>
      </c>
    </row>
    <row r="37" spans="1:12" x14ac:dyDescent="0.2">
      <c r="A37" s="1" t="s">
        <v>119</v>
      </c>
      <c r="B37" s="1" t="s">
        <v>36</v>
      </c>
      <c r="D37" s="2" t="s">
        <v>120</v>
      </c>
      <c r="F37" s="1" t="s">
        <v>37</v>
      </c>
      <c r="G37" s="1" t="s">
        <v>37</v>
      </c>
      <c r="H37" s="1" t="s">
        <v>37</v>
      </c>
      <c r="I37" s="1" t="s">
        <v>37</v>
      </c>
      <c r="J37" s="1" t="s">
        <v>37</v>
      </c>
      <c r="K37" s="1" t="s">
        <v>37</v>
      </c>
      <c r="L37" s="2" t="s">
        <v>121</v>
      </c>
    </row>
    <row r="38" spans="1:12" x14ac:dyDescent="0.2">
      <c r="A38" s="1" t="s">
        <v>122</v>
      </c>
      <c r="B38" s="1" t="s">
        <v>36</v>
      </c>
      <c r="D38" s="2" t="s">
        <v>120</v>
      </c>
      <c r="F38" s="1" t="s">
        <v>37</v>
      </c>
      <c r="G38" s="1" t="s">
        <v>37</v>
      </c>
      <c r="H38" s="1" t="s">
        <v>37</v>
      </c>
      <c r="I38" s="1" t="s">
        <v>37</v>
      </c>
      <c r="J38" s="1" t="s">
        <v>37</v>
      </c>
      <c r="K38" s="1" t="s">
        <v>37</v>
      </c>
      <c r="L38" s="2" t="s">
        <v>123</v>
      </c>
    </row>
    <row r="39" spans="1:12" x14ac:dyDescent="0.2">
      <c r="A39" s="1" t="s">
        <v>124</v>
      </c>
      <c r="B39" s="1" t="s">
        <v>36</v>
      </c>
      <c r="D39" s="2" t="s">
        <v>125</v>
      </c>
      <c r="F39" s="1" t="s">
        <v>37</v>
      </c>
      <c r="G39" s="1" t="s">
        <v>37</v>
      </c>
      <c r="H39" s="1" t="s">
        <v>37</v>
      </c>
      <c r="I39" s="1" t="s">
        <v>37</v>
      </c>
      <c r="J39" s="1" t="s">
        <v>37</v>
      </c>
      <c r="K39" s="1" t="s">
        <v>37</v>
      </c>
      <c r="L39" s="6"/>
    </row>
    <row r="40" spans="1:12" x14ac:dyDescent="0.2">
      <c r="A40" s="1" t="s">
        <v>126</v>
      </c>
      <c r="B40" s="1" t="s">
        <v>36</v>
      </c>
      <c r="D40" s="2" t="s">
        <v>127</v>
      </c>
      <c r="F40" s="1" t="s">
        <v>37</v>
      </c>
      <c r="G40" s="1" t="s">
        <v>37</v>
      </c>
      <c r="H40" s="1" t="s">
        <v>37</v>
      </c>
      <c r="I40" s="1" t="s">
        <v>37</v>
      </c>
      <c r="J40" s="1" t="s">
        <v>37</v>
      </c>
      <c r="K40" s="1" t="s">
        <v>37</v>
      </c>
      <c r="L40" s="2" t="s">
        <v>128</v>
      </c>
    </row>
    <row r="41" spans="1:12" x14ac:dyDescent="0.2">
      <c r="A41" s="24" t="s">
        <v>129</v>
      </c>
      <c r="B41" s="24" t="s">
        <v>36</v>
      </c>
      <c r="C41" s="24"/>
      <c r="D41" s="25" t="s">
        <v>130</v>
      </c>
      <c r="E41" s="24"/>
      <c r="F41" s="24" t="s">
        <v>37</v>
      </c>
      <c r="G41" s="26" t="s">
        <v>66</v>
      </c>
      <c r="H41" s="26" t="s">
        <v>66</v>
      </c>
      <c r="I41" s="24" t="s">
        <v>37</v>
      </c>
      <c r="J41" s="26" t="s">
        <v>66</v>
      </c>
      <c r="K41" s="24" t="s">
        <v>37</v>
      </c>
      <c r="L41" s="25" t="s">
        <v>131</v>
      </c>
    </row>
    <row r="42" spans="1:12" x14ac:dyDescent="0.2">
      <c r="A42" s="1" t="s">
        <v>133</v>
      </c>
      <c r="B42" s="1" t="s">
        <v>132</v>
      </c>
      <c r="D42" s="2" t="s">
        <v>134</v>
      </c>
      <c r="F42" s="1" t="s">
        <v>37</v>
      </c>
      <c r="G42" s="1" t="s">
        <v>37</v>
      </c>
      <c r="H42" s="1" t="s">
        <v>37</v>
      </c>
      <c r="I42" s="1" t="s">
        <v>37</v>
      </c>
      <c r="J42" s="1" t="s">
        <v>37</v>
      </c>
      <c r="K42" s="1" t="s">
        <v>37</v>
      </c>
      <c r="L42" s="2" t="s">
        <v>135</v>
      </c>
    </row>
    <row r="43" spans="1:12" x14ac:dyDescent="0.2">
      <c r="A43" s="1" t="s">
        <v>136</v>
      </c>
      <c r="B43" s="1" t="s">
        <v>132</v>
      </c>
      <c r="D43" s="2" t="s">
        <v>137</v>
      </c>
      <c r="F43" s="1" t="s">
        <v>37</v>
      </c>
      <c r="G43" s="1" t="s">
        <v>37</v>
      </c>
      <c r="H43" s="1" t="s">
        <v>37</v>
      </c>
      <c r="I43" s="1" t="s">
        <v>37</v>
      </c>
      <c r="J43" s="1" t="s">
        <v>37</v>
      </c>
      <c r="K43" s="1" t="s">
        <v>37</v>
      </c>
      <c r="L43" s="2" t="s">
        <v>138</v>
      </c>
    </row>
    <row r="44" spans="1:12" x14ac:dyDescent="0.2">
      <c r="A44" s="1" t="s">
        <v>139</v>
      </c>
      <c r="B44" s="1" t="s">
        <v>132</v>
      </c>
      <c r="D44" s="2" t="s">
        <v>140</v>
      </c>
      <c r="F44" s="1" t="s">
        <v>37</v>
      </c>
      <c r="G44" s="1" t="s">
        <v>37</v>
      </c>
      <c r="H44" s="1" t="s">
        <v>37</v>
      </c>
      <c r="I44" s="1" t="s">
        <v>37</v>
      </c>
      <c r="J44" s="1" t="s">
        <v>37</v>
      </c>
      <c r="K44" s="1" t="s">
        <v>37</v>
      </c>
      <c r="L44" s="2" t="s">
        <v>141</v>
      </c>
    </row>
    <row r="45" spans="1:12" x14ac:dyDescent="0.2">
      <c r="A45" s="1" t="s">
        <v>142</v>
      </c>
      <c r="B45" s="1" t="s">
        <v>132</v>
      </c>
      <c r="D45" s="2" t="s">
        <v>143</v>
      </c>
      <c r="F45" s="1" t="s">
        <v>37</v>
      </c>
      <c r="G45" s="1" t="s">
        <v>37</v>
      </c>
      <c r="H45" s="1" t="s">
        <v>37</v>
      </c>
      <c r="I45" s="1" t="s">
        <v>37</v>
      </c>
      <c r="J45" s="1" t="s">
        <v>37</v>
      </c>
      <c r="K45" s="1" t="s">
        <v>37</v>
      </c>
      <c r="L45" s="2" t="s">
        <v>144</v>
      </c>
    </row>
    <row r="46" spans="1:12" x14ac:dyDescent="0.2">
      <c r="A46" s="1" t="s">
        <v>145</v>
      </c>
      <c r="B46" s="1" t="s">
        <v>132</v>
      </c>
      <c r="D46" s="6"/>
      <c r="F46" s="1" t="s">
        <v>37</v>
      </c>
      <c r="G46" s="1" t="s">
        <v>37</v>
      </c>
      <c r="H46" s="1" t="s">
        <v>37</v>
      </c>
      <c r="I46" s="1" t="s">
        <v>37</v>
      </c>
      <c r="J46" s="1" t="s">
        <v>37</v>
      </c>
      <c r="K46" s="1" t="s">
        <v>37</v>
      </c>
      <c r="L46" s="6"/>
    </row>
    <row r="47" spans="1:12" x14ac:dyDescent="0.2">
      <c r="A47" s="1" t="s">
        <v>146</v>
      </c>
      <c r="B47" s="1" t="s">
        <v>132</v>
      </c>
      <c r="D47" s="2" t="s">
        <v>147</v>
      </c>
      <c r="F47" s="1" t="s">
        <v>37</v>
      </c>
      <c r="G47" s="1" t="s">
        <v>37</v>
      </c>
      <c r="H47" s="1" t="s">
        <v>37</v>
      </c>
      <c r="I47" s="1" t="s">
        <v>37</v>
      </c>
      <c r="J47" s="1" t="s">
        <v>37</v>
      </c>
      <c r="K47" s="1" t="s">
        <v>37</v>
      </c>
      <c r="L47" s="6"/>
    </row>
    <row r="48" spans="1:12" x14ac:dyDescent="0.2">
      <c r="A48" s="1" t="s">
        <v>148</v>
      </c>
      <c r="B48" s="1" t="s">
        <v>132</v>
      </c>
      <c r="D48" s="2" t="s">
        <v>147</v>
      </c>
      <c r="F48" s="1" t="s">
        <v>37</v>
      </c>
      <c r="G48" s="5" t="s">
        <v>66</v>
      </c>
      <c r="H48" s="1" t="s">
        <v>37</v>
      </c>
      <c r="I48" s="1" t="s">
        <v>37</v>
      </c>
      <c r="J48" s="1" t="s">
        <v>37</v>
      </c>
      <c r="K48" s="1" t="s">
        <v>37</v>
      </c>
      <c r="L48" s="2" t="s">
        <v>149</v>
      </c>
    </row>
    <row r="49" spans="1:12" x14ac:dyDescent="0.2">
      <c r="A49" s="1" t="s">
        <v>150</v>
      </c>
      <c r="B49" s="1" t="s">
        <v>132</v>
      </c>
      <c r="D49" s="2" t="s">
        <v>151</v>
      </c>
      <c r="F49" s="1" t="s">
        <v>37</v>
      </c>
      <c r="G49" s="1" t="s">
        <v>37</v>
      </c>
      <c r="H49" s="1" t="s">
        <v>37</v>
      </c>
      <c r="I49" s="1" t="s">
        <v>37</v>
      </c>
      <c r="J49" s="1" t="s">
        <v>37</v>
      </c>
      <c r="K49" s="1" t="s">
        <v>37</v>
      </c>
      <c r="L49" s="6"/>
    </row>
    <row r="50" spans="1:12" x14ac:dyDescent="0.2">
      <c r="A50" s="1" t="s">
        <v>152</v>
      </c>
      <c r="B50" s="1" t="s">
        <v>132</v>
      </c>
      <c r="D50" s="2" t="s">
        <v>153</v>
      </c>
      <c r="F50" s="1" t="s">
        <v>37</v>
      </c>
      <c r="G50" s="1" t="s">
        <v>37</v>
      </c>
      <c r="H50" s="1" t="s">
        <v>37</v>
      </c>
      <c r="I50" s="1" t="s">
        <v>37</v>
      </c>
      <c r="J50" s="1" t="s">
        <v>37</v>
      </c>
      <c r="K50" s="1" t="s">
        <v>37</v>
      </c>
      <c r="L50" s="2" t="s">
        <v>154</v>
      </c>
    </row>
    <row r="51" spans="1:12" x14ac:dyDescent="0.2">
      <c r="A51" s="1" t="s">
        <v>155</v>
      </c>
      <c r="B51" s="1" t="s">
        <v>132</v>
      </c>
      <c r="D51" s="2" t="s">
        <v>156</v>
      </c>
      <c r="F51" s="1" t="s">
        <v>37</v>
      </c>
      <c r="G51" s="1" t="s">
        <v>37</v>
      </c>
      <c r="H51" s="1" t="s">
        <v>37</v>
      </c>
      <c r="I51" s="1" t="s">
        <v>37</v>
      </c>
      <c r="J51" s="1" t="s">
        <v>37</v>
      </c>
      <c r="K51" s="1" t="s">
        <v>37</v>
      </c>
      <c r="L51" s="2" t="s">
        <v>157</v>
      </c>
    </row>
    <row r="52" spans="1:12" x14ac:dyDescent="0.2">
      <c r="A52" s="1" t="s">
        <v>158</v>
      </c>
      <c r="B52" s="1" t="s">
        <v>132</v>
      </c>
      <c r="D52" s="2" t="s">
        <v>159</v>
      </c>
      <c r="F52" s="1" t="s">
        <v>37</v>
      </c>
      <c r="G52" s="1" t="s">
        <v>37</v>
      </c>
      <c r="H52" s="1" t="s">
        <v>37</v>
      </c>
      <c r="I52" s="1" t="s">
        <v>37</v>
      </c>
      <c r="J52" s="1" t="s">
        <v>37</v>
      </c>
      <c r="K52" s="1" t="s">
        <v>37</v>
      </c>
      <c r="L52" s="6"/>
    </row>
    <row r="53" spans="1:12" x14ac:dyDescent="0.2">
      <c r="A53" s="1" t="s">
        <v>160</v>
      </c>
      <c r="B53" s="1" t="s">
        <v>132</v>
      </c>
      <c r="D53" s="2" t="s">
        <v>161</v>
      </c>
      <c r="F53" s="1" t="s">
        <v>37</v>
      </c>
      <c r="G53" s="1" t="s">
        <v>37</v>
      </c>
      <c r="H53" s="1" t="s">
        <v>37</v>
      </c>
      <c r="I53" s="1" t="s">
        <v>37</v>
      </c>
      <c r="J53" s="1" t="s">
        <v>37</v>
      </c>
      <c r="K53" s="1" t="s">
        <v>37</v>
      </c>
      <c r="L53" s="2" t="s">
        <v>162</v>
      </c>
    </row>
    <row r="54" spans="1:12" x14ac:dyDescent="0.2">
      <c r="A54" s="1" t="s">
        <v>163</v>
      </c>
      <c r="B54" s="1" t="s">
        <v>132</v>
      </c>
      <c r="D54" s="2" t="s">
        <v>164</v>
      </c>
      <c r="F54" s="1" t="s">
        <v>37</v>
      </c>
      <c r="G54" s="1" t="s">
        <v>37</v>
      </c>
      <c r="H54" s="1" t="s">
        <v>37</v>
      </c>
      <c r="I54" s="1" t="s">
        <v>37</v>
      </c>
      <c r="J54" s="1" t="s">
        <v>37</v>
      </c>
      <c r="K54" s="1" t="s">
        <v>37</v>
      </c>
      <c r="L54" s="2" t="s">
        <v>165</v>
      </c>
    </row>
    <row r="55" spans="1:12" x14ac:dyDescent="0.2">
      <c r="A55" s="1" t="s">
        <v>166</v>
      </c>
      <c r="B55" s="1" t="s">
        <v>132</v>
      </c>
      <c r="D55" s="2" t="s">
        <v>167</v>
      </c>
      <c r="F55" s="1" t="s">
        <v>37</v>
      </c>
      <c r="G55" s="5" t="s">
        <v>66</v>
      </c>
      <c r="H55" s="1" t="s">
        <v>37</v>
      </c>
      <c r="I55" s="1" t="s">
        <v>37</v>
      </c>
      <c r="J55" s="5" t="s">
        <v>66</v>
      </c>
      <c r="K55" s="1" t="s">
        <v>37</v>
      </c>
      <c r="L55" s="6"/>
    </row>
    <row r="56" spans="1:12" x14ac:dyDescent="0.2">
      <c r="A56" s="1" t="s">
        <v>173</v>
      </c>
      <c r="B56" s="1" t="s">
        <v>132</v>
      </c>
      <c r="D56" s="2" t="s">
        <v>174</v>
      </c>
      <c r="F56" s="1" t="s">
        <v>37</v>
      </c>
      <c r="G56" s="5" t="s">
        <v>66</v>
      </c>
      <c r="H56" s="1" t="s">
        <v>37</v>
      </c>
      <c r="I56" s="1" t="s">
        <v>37</v>
      </c>
      <c r="J56" s="1" t="s">
        <v>37</v>
      </c>
      <c r="K56" s="1" t="s">
        <v>37</v>
      </c>
      <c r="L56" s="6"/>
    </row>
    <row r="57" spans="1:12" x14ac:dyDescent="0.2">
      <c r="A57" s="1" t="s">
        <v>168</v>
      </c>
      <c r="B57" s="1" t="s">
        <v>132</v>
      </c>
      <c r="D57" s="6"/>
      <c r="F57" s="1" t="s">
        <v>37</v>
      </c>
      <c r="G57" s="1" t="s">
        <v>37</v>
      </c>
      <c r="H57" s="1" t="s">
        <v>37</v>
      </c>
      <c r="I57" s="1" t="s">
        <v>37</v>
      </c>
      <c r="J57" s="1" t="s">
        <v>37</v>
      </c>
      <c r="K57" s="1" t="s">
        <v>37</v>
      </c>
      <c r="L57" s="2" t="s">
        <v>169</v>
      </c>
    </row>
    <row r="58" spans="1:12" x14ac:dyDescent="0.2">
      <c r="A58" s="1" t="s">
        <v>170</v>
      </c>
      <c r="B58" s="1" t="s">
        <v>132</v>
      </c>
      <c r="D58" s="6"/>
      <c r="F58" s="1" t="s">
        <v>37</v>
      </c>
      <c r="G58" s="1" t="s">
        <v>37</v>
      </c>
      <c r="H58" s="1" t="s">
        <v>37</v>
      </c>
      <c r="I58" s="1" t="s">
        <v>37</v>
      </c>
      <c r="J58" s="1" t="s">
        <v>37</v>
      </c>
      <c r="K58" s="1" t="s">
        <v>37</v>
      </c>
      <c r="L58" s="6"/>
    </row>
    <row r="59" spans="1:12" x14ac:dyDescent="0.2">
      <c r="A59" s="1" t="s">
        <v>171</v>
      </c>
      <c r="B59" s="1" t="s">
        <v>132</v>
      </c>
      <c r="D59" s="6"/>
      <c r="F59" s="1" t="s">
        <v>37</v>
      </c>
      <c r="G59" s="1" t="s">
        <v>37</v>
      </c>
      <c r="H59" s="1" t="s">
        <v>37</v>
      </c>
      <c r="I59" s="1" t="s">
        <v>37</v>
      </c>
      <c r="J59" s="1" t="s">
        <v>37</v>
      </c>
      <c r="K59" s="1" t="s">
        <v>37</v>
      </c>
      <c r="L59" s="2" t="s">
        <v>172</v>
      </c>
    </row>
    <row r="60" spans="1:12" x14ac:dyDescent="0.2">
      <c r="A60" s="1" t="s">
        <v>175</v>
      </c>
      <c r="B60" s="1" t="s">
        <v>132</v>
      </c>
      <c r="D60" s="2" t="s">
        <v>176</v>
      </c>
      <c r="F60" s="1" t="s">
        <v>37</v>
      </c>
      <c r="G60" s="1" t="s">
        <v>37</v>
      </c>
      <c r="H60" s="1" t="s">
        <v>37</v>
      </c>
      <c r="I60" s="1" t="s">
        <v>37</v>
      </c>
      <c r="J60" s="1" t="s">
        <v>37</v>
      </c>
      <c r="K60" s="1" t="s">
        <v>37</v>
      </c>
      <c r="L60" s="2" t="s">
        <v>177</v>
      </c>
    </row>
    <row r="61" spans="1:12" x14ac:dyDescent="0.2">
      <c r="A61" s="1" t="s">
        <v>178</v>
      </c>
      <c r="B61" s="1" t="s">
        <v>132</v>
      </c>
      <c r="D61" s="2" t="s">
        <v>179</v>
      </c>
      <c r="F61" s="1" t="s">
        <v>37</v>
      </c>
      <c r="G61" s="1" t="s">
        <v>37</v>
      </c>
      <c r="H61" s="1" t="s">
        <v>37</v>
      </c>
      <c r="I61" s="1" t="s">
        <v>37</v>
      </c>
      <c r="J61" s="1" t="s">
        <v>37</v>
      </c>
      <c r="K61" s="1" t="s">
        <v>37</v>
      </c>
      <c r="L61" s="2" t="s">
        <v>180</v>
      </c>
    </row>
    <row r="62" spans="1:12" x14ac:dyDescent="0.2">
      <c r="A62" s="1" t="s">
        <v>181</v>
      </c>
      <c r="B62" s="1" t="s">
        <v>132</v>
      </c>
      <c r="D62" s="2" t="s">
        <v>182</v>
      </c>
      <c r="F62" s="1" t="s">
        <v>37</v>
      </c>
      <c r="G62" s="1" t="s">
        <v>37</v>
      </c>
      <c r="H62" s="1" t="s">
        <v>37</v>
      </c>
      <c r="I62" s="1" t="s">
        <v>37</v>
      </c>
      <c r="J62" s="1" t="s">
        <v>37</v>
      </c>
      <c r="K62" s="1" t="s">
        <v>37</v>
      </c>
      <c r="L62" s="2" t="s">
        <v>183</v>
      </c>
    </row>
    <row r="63" spans="1:12" x14ac:dyDescent="0.2">
      <c r="A63" s="1" t="s">
        <v>184</v>
      </c>
      <c r="B63" s="1" t="s">
        <v>132</v>
      </c>
      <c r="D63" s="2" t="s">
        <v>185</v>
      </c>
      <c r="F63" s="1" t="s">
        <v>37</v>
      </c>
      <c r="G63" s="1" t="s">
        <v>37</v>
      </c>
      <c r="H63" s="1" t="s">
        <v>37</v>
      </c>
      <c r="I63" s="1" t="s">
        <v>37</v>
      </c>
      <c r="J63" s="1" t="s">
        <v>37</v>
      </c>
      <c r="K63" s="1" t="s">
        <v>37</v>
      </c>
      <c r="L63" s="2" t="s">
        <v>186</v>
      </c>
    </row>
    <row r="64" spans="1:12" x14ac:dyDescent="0.2">
      <c r="A64" s="1" t="s">
        <v>187</v>
      </c>
      <c r="B64" s="1" t="s">
        <v>132</v>
      </c>
      <c r="D64" s="2" t="s">
        <v>188</v>
      </c>
      <c r="F64" s="1" t="s">
        <v>37</v>
      </c>
      <c r="G64" s="1" t="s">
        <v>37</v>
      </c>
      <c r="H64" s="1" t="s">
        <v>37</v>
      </c>
      <c r="I64" s="1" t="s">
        <v>37</v>
      </c>
      <c r="J64" s="1" t="s">
        <v>37</v>
      </c>
      <c r="K64" s="1" t="s">
        <v>37</v>
      </c>
      <c r="L64" s="2" t="s">
        <v>189</v>
      </c>
    </row>
    <row r="65" spans="1:12" x14ac:dyDescent="0.2">
      <c r="A65" s="1" t="s">
        <v>190</v>
      </c>
      <c r="B65" s="1" t="s">
        <v>132</v>
      </c>
      <c r="D65" s="2" t="s">
        <v>191</v>
      </c>
      <c r="F65" s="1" t="s">
        <v>37</v>
      </c>
      <c r="G65" s="5" t="s">
        <v>66</v>
      </c>
      <c r="H65" s="1" t="s">
        <v>37</v>
      </c>
      <c r="I65" s="1" t="s">
        <v>37</v>
      </c>
      <c r="J65" s="1" t="s">
        <v>37</v>
      </c>
      <c r="K65" s="1" t="s">
        <v>37</v>
      </c>
      <c r="L65" s="6"/>
    </row>
    <row r="66" spans="1:12" x14ac:dyDescent="0.2">
      <c r="A66" s="1" t="s">
        <v>192</v>
      </c>
      <c r="B66" s="1" t="s">
        <v>132</v>
      </c>
      <c r="D66" s="2" t="s">
        <v>193</v>
      </c>
      <c r="F66" s="1" t="s">
        <v>37</v>
      </c>
      <c r="G66" s="1" t="s">
        <v>37</v>
      </c>
      <c r="H66" s="1" t="s">
        <v>37</v>
      </c>
      <c r="I66" s="1" t="s">
        <v>37</v>
      </c>
      <c r="J66" s="1" t="s">
        <v>37</v>
      </c>
      <c r="K66" s="1" t="s">
        <v>37</v>
      </c>
      <c r="L66" s="6"/>
    </row>
    <row r="67" spans="1:12" x14ac:dyDescent="0.2">
      <c r="A67" s="1" t="s">
        <v>194</v>
      </c>
      <c r="B67" s="1" t="s">
        <v>132</v>
      </c>
      <c r="D67" s="2" t="s">
        <v>195</v>
      </c>
      <c r="F67" s="1" t="s">
        <v>37</v>
      </c>
      <c r="G67" s="1" t="s">
        <v>37</v>
      </c>
      <c r="H67" s="1" t="s">
        <v>37</v>
      </c>
      <c r="I67" s="1" t="s">
        <v>37</v>
      </c>
      <c r="J67" s="1" t="s">
        <v>37</v>
      </c>
      <c r="K67" s="1" t="s">
        <v>37</v>
      </c>
      <c r="L67" s="6"/>
    </row>
    <row r="68" spans="1:12" ht="15" x14ac:dyDescent="0.25">
      <c r="A68" s="1" t="s">
        <v>196</v>
      </c>
      <c r="B68" s="1" t="s">
        <v>197</v>
      </c>
      <c r="D68" s="27" t="s">
        <v>198</v>
      </c>
      <c r="F68" s="1" t="s">
        <v>37</v>
      </c>
      <c r="G68" s="1" t="s">
        <v>37</v>
      </c>
      <c r="H68" s="1" t="s">
        <v>37</v>
      </c>
      <c r="I68" s="1" t="s">
        <v>37</v>
      </c>
      <c r="J68" s="1" t="s">
        <v>37</v>
      </c>
      <c r="K68" s="1" t="s">
        <v>37</v>
      </c>
      <c r="L68" s="2" t="s">
        <v>199</v>
      </c>
    </row>
    <row r="69" spans="1:12" ht="15" x14ac:dyDescent="0.25">
      <c r="A69" s="1" t="s">
        <v>200</v>
      </c>
      <c r="B69" s="1" t="s">
        <v>197</v>
      </c>
      <c r="D69" s="27" t="s">
        <v>201</v>
      </c>
      <c r="F69" s="1" t="s">
        <v>37</v>
      </c>
      <c r="G69" s="1" t="s">
        <v>37</v>
      </c>
      <c r="H69" s="1" t="s">
        <v>37</v>
      </c>
      <c r="I69" s="1" t="s">
        <v>37</v>
      </c>
      <c r="J69" s="1" t="s">
        <v>37</v>
      </c>
      <c r="K69" s="1" t="s">
        <v>37</v>
      </c>
      <c r="L69" s="6"/>
    </row>
    <row r="70" spans="1:12" ht="15" x14ac:dyDescent="0.25">
      <c r="A70" s="1" t="s">
        <v>202</v>
      </c>
      <c r="B70" s="1" t="s">
        <v>197</v>
      </c>
      <c r="D70" s="27" t="s">
        <v>203</v>
      </c>
      <c r="F70" s="1" t="s">
        <v>37</v>
      </c>
      <c r="G70" s="1" t="s">
        <v>37</v>
      </c>
      <c r="H70" s="1" t="s">
        <v>37</v>
      </c>
      <c r="I70" s="1" t="s">
        <v>37</v>
      </c>
      <c r="J70" s="1" t="s">
        <v>37</v>
      </c>
      <c r="K70" s="1" t="s">
        <v>37</v>
      </c>
      <c r="L70" s="2" t="s">
        <v>204</v>
      </c>
    </row>
    <row r="71" spans="1:12" ht="15" x14ac:dyDescent="0.25">
      <c r="A71" s="1" t="s">
        <v>205</v>
      </c>
      <c r="B71" s="1" t="s">
        <v>197</v>
      </c>
      <c r="D71" s="27" t="s">
        <v>206</v>
      </c>
      <c r="F71" s="1" t="s">
        <v>37</v>
      </c>
      <c r="G71" s="1" t="s">
        <v>37</v>
      </c>
      <c r="H71" s="1" t="s">
        <v>37</v>
      </c>
      <c r="I71" s="1" t="s">
        <v>37</v>
      </c>
      <c r="J71" s="1" t="s">
        <v>37</v>
      </c>
      <c r="K71" s="1" t="s">
        <v>37</v>
      </c>
      <c r="L71" s="2" t="s">
        <v>207</v>
      </c>
    </row>
    <row r="72" spans="1:12" ht="15" x14ac:dyDescent="0.25">
      <c r="A72" s="1" t="s">
        <v>208</v>
      </c>
      <c r="B72" s="1" t="s">
        <v>197</v>
      </c>
      <c r="D72" s="27" t="s">
        <v>209</v>
      </c>
      <c r="F72" s="1" t="s">
        <v>37</v>
      </c>
      <c r="G72" s="1" t="s">
        <v>37</v>
      </c>
      <c r="H72" s="1" t="s">
        <v>37</v>
      </c>
      <c r="I72" s="1" t="s">
        <v>37</v>
      </c>
      <c r="J72" s="1" t="s">
        <v>37</v>
      </c>
      <c r="K72" s="1" t="s">
        <v>37</v>
      </c>
      <c r="L72" s="6"/>
    </row>
    <row r="73" spans="1:12" ht="15" x14ac:dyDescent="0.25">
      <c r="A73" s="1" t="s">
        <v>210</v>
      </c>
      <c r="B73" s="1" t="s">
        <v>197</v>
      </c>
      <c r="D73" s="27" t="s">
        <v>211</v>
      </c>
      <c r="F73" s="1" t="s">
        <v>37</v>
      </c>
      <c r="G73" s="1" t="s">
        <v>37</v>
      </c>
      <c r="H73" s="1" t="s">
        <v>37</v>
      </c>
      <c r="I73" s="1" t="s">
        <v>37</v>
      </c>
      <c r="J73" s="1" t="s">
        <v>37</v>
      </c>
      <c r="K73" s="1" t="s">
        <v>37</v>
      </c>
      <c r="L73" s="2" t="s">
        <v>212</v>
      </c>
    </row>
    <row r="74" spans="1:12" ht="15" x14ac:dyDescent="0.25">
      <c r="A74" s="1" t="s">
        <v>213</v>
      </c>
      <c r="B74" s="1" t="s">
        <v>197</v>
      </c>
      <c r="D74" s="27" t="s">
        <v>214</v>
      </c>
      <c r="F74" s="1" t="s">
        <v>37</v>
      </c>
      <c r="G74" s="1" t="s">
        <v>37</v>
      </c>
      <c r="H74" s="1" t="s">
        <v>37</v>
      </c>
      <c r="I74" s="1" t="s">
        <v>37</v>
      </c>
      <c r="J74" s="1" t="s">
        <v>37</v>
      </c>
      <c r="K74" s="1" t="s">
        <v>37</v>
      </c>
      <c r="L74" s="2" t="s">
        <v>215</v>
      </c>
    </row>
    <row r="75" spans="1:12" ht="15" x14ac:dyDescent="0.25">
      <c r="A75" s="1" t="s">
        <v>216</v>
      </c>
      <c r="B75" s="1" t="s">
        <v>197</v>
      </c>
      <c r="D75" s="27" t="s">
        <v>217</v>
      </c>
      <c r="F75" s="1" t="s">
        <v>37</v>
      </c>
      <c r="G75" s="1" t="s">
        <v>66</v>
      </c>
      <c r="H75" s="1" t="s">
        <v>37</v>
      </c>
      <c r="I75" s="1" t="s">
        <v>37</v>
      </c>
      <c r="J75" s="1" t="s">
        <v>37</v>
      </c>
      <c r="K75" s="1" t="s">
        <v>37</v>
      </c>
      <c r="L75" s="6"/>
    </row>
    <row r="76" spans="1:12" ht="15" x14ac:dyDescent="0.25">
      <c r="A76" s="1" t="s">
        <v>218</v>
      </c>
      <c r="B76" s="1" t="s">
        <v>197</v>
      </c>
      <c r="D76" s="27" t="s">
        <v>219</v>
      </c>
      <c r="F76" s="1" t="s">
        <v>37</v>
      </c>
      <c r="G76" s="1" t="s">
        <v>37</v>
      </c>
      <c r="H76" s="1" t="s">
        <v>37</v>
      </c>
      <c r="I76" s="1" t="s">
        <v>37</v>
      </c>
      <c r="J76" s="1" t="s">
        <v>37</v>
      </c>
      <c r="K76" s="1" t="s">
        <v>66</v>
      </c>
      <c r="L76" s="2" t="s">
        <v>220</v>
      </c>
    </row>
    <row r="77" spans="1:12" ht="15" x14ac:dyDescent="0.25">
      <c r="A77" s="1" t="s">
        <v>221</v>
      </c>
      <c r="B77" s="1" t="s">
        <v>197</v>
      </c>
      <c r="D77" s="27" t="s">
        <v>222</v>
      </c>
      <c r="F77" s="1" t="s">
        <v>37</v>
      </c>
      <c r="G77" s="1" t="s">
        <v>37</v>
      </c>
      <c r="H77" s="1" t="s">
        <v>37</v>
      </c>
      <c r="I77" s="1" t="s">
        <v>37</v>
      </c>
      <c r="J77" s="1" t="s">
        <v>37</v>
      </c>
      <c r="K77" s="1" t="s">
        <v>37</v>
      </c>
      <c r="L77" s="2" t="s">
        <v>223</v>
      </c>
    </row>
    <row r="78" spans="1:12" ht="15" x14ac:dyDescent="0.25">
      <c r="A78" s="1" t="s">
        <v>224</v>
      </c>
      <c r="B78" s="1" t="s">
        <v>197</v>
      </c>
      <c r="D78" s="27" t="s">
        <v>225</v>
      </c>
      <c r="F78" s="1" t="s">
        <v>37</v>
      </c>
      <c r="G78" s="1" t="s">
        <v>37</v>
      </c>
      <c r="H78" s="1" t="s">
        <v>37</v>
      </c>
      <c r="I78" s="1" t="s">
        <v>37</v>
      </c>
      <c r="J78" s="1" t="s">
        <v>37</v>
      </c>
      <c r="K78" s="1" t="s">
        <v>37</v>
      </c>
      <c r="L78" s="2" t="s">
        <v>226</v>
      </c>
    </row>
    <row r="79" spans="1:12" ht="15" x14ac:dyDescent="0.25">
      <c r="A79" s="1" t="s">
        <v>227</v>
      </c>
      <c r="B79" s="1" t="s">
        <v>197</v>
      </c>
      <c r="D79" s="27" t="s">
        <v>228</v>
      </c>
      <c r="F79" s="1" t="s">
        <v>37</v>
      </c>
      <c r="G79" s="1" t="s">
        <v>37</v>
      </c>
      <c r="H79" s="1" t="s">
        <v>37</v>
      </c>
      <c r="I79" s="1" t="s">
        <v>37</v>
      </c>
      <c r="J79" s="1" t="s">
        <v>37</v>
      </c>
      <c r="K79" s="1" t="s">
        <v>37</v>
      </c>
      <c r="L79" s="6"/>
    </row>
    <row r="80" spans="1:12" ht="15" x14ac:dyDescent="0.25">
      <c r="A80" s="1" t="s">
        <v>229</v>
      </c>
      <c r="B80" s="1" t="s">
        <v>197</v>
      </c>
      <c r="D80" s="27" t="s">
        <v>230</v>
      </c>
      <c r="F80" s="1" t="s">
        <v>37</v>
      </c>
      <c r="G80" s="1" t="s">
        <v>37</v>
      </c>
      <c r="H80" s="1" t="s">
        <v>37</v>
      </c>
      <c r="I80" s="1" t="s">
        <v>37</v>
      </c>
      <c r="J80" s="1" t="s">
        <v>37</v>
      </c>
      <c r="K80" s="1" t="s">
        <v>37</v>
      </c>
      <c r="L80" s="2" t="s">
        <v>231</v>
      </c>
    </row>
    <row r="81" spans="1:12" ht="15" x14ac:dyDescent="0.25">
      <c r="A81" s="1" t="s">
        <v>232</v>
      </c>
      <c r="B81" s="1" t="s">
        <v>197</v>
      </c>
      <c r="D81" s="27" t="s">
        <v>233</v>
      </c>
      <c r="F81" s="1" t="s">
        <v>37</v>
      </c>
      <c r="G81" s="1" t="s">
        <v>37</v>
      </c>
      <c r="H81" s="1" t="s">
        <v>37</v>
      </c>
      <c r="I81" s="1" t="s">
        <v>37</v>
      </c>
      <c r="J81" s="1" t="s">
        <v>37</v>
      </c>
      <c r="K81" s="1" t="s">
        <v>37</v>
      </c>
      <c r="L81" s="6"/>
    </row>
    <row r="82" spans="1:12" ht="15" x14ac:dyDescent="0.25">
      <c r="A82" s="1" t="s">
        <v>234</v>
      </c>
      <c r="B82" s="1" t="s">
        <v>197</v>
      </c>
      <c r="D82" s="27" t="s">
        <v>237</v>
      </c>
      <c r="F82" s="1" t="s">
        <v>37</v>
      </c>
      <c r="G82" s="1" t="s">
        <v>37</v>
      </c>
      <c r="H82" s="1" t="s">
        <v>37</v>
      </c>
      <c r="I82" s="1" t="s">
        <v>37</v>
      </c>
      <c r="J82" s="1" t="s">
        <v>37</v>
      </c>
      <c r="K82" s="1" t="s">
        <v>37</v>
      </c>
      <c r="L82" s="2" t="s">
        <v>235</v>
      </c>
    </row>
    <row r="83" spans="1:12" ht="15" x14ac:dyDescent="0.25">
      <c r="A83" s="1" t="s">
        <v>236</v>
      </c>
      <c r="B83" s="1" t="s">
        <v>197</v>
      </c>
      <c r="D83" s="27" t="s">
        <v>238</v>
      </c>
      <c r="F83" s="1" t="s">
        <v>37</v>
      </c>
      <c r="G83" s="1" t="s">
        <v>37</v>
      </c>
      <c r="H83" s="1" t="s">
        <v>37</v>
      </c>
      <c r="I83" s="1" t="s">
        <v>37</v>
      </c>
      <c r="J83" s="1" t="s">
        <v>37</v>
      </c>
      <c r="K83" s="1" t="s">
        <v>37</v>
      </c>
      <c r="L83" s="2" t="s">
        <v>239</v>
      </c>
    </row>
    <row r="84" spans="1:12" ht="15" x14ac:dyDescent="0.25">
      <c r="A84" s="28"/>
      <c r="B84" s="1" t="s">
        <v>197</v>
      </c>
      <c r="D84" s="27" t="s">
        <v>240</v>
      </c>
      <c r="F84" s="1" t="s">
        <v>37</v>
      </c>
      <c r="G84" s="1" t="s">
        <v>37</v>
      </c>
      <c r="H84" s="1" t="s">
        <v>37</v>
      </c>
      <c r="I84" s="1" t="s">
        <v>37</v>
      </c>
      <c r="J84" s="1" t="s">
        <v>37</v>
      </c>
      <c r="K84" s="1" t="s">
        <v>37</v>
      </c>
      <c r="L84" s="2" t="s">
        <v>241</v>
      </c>
    </row>
    <row r="85" spans="1:12" ht="15" x14ac:dyDescent="0.25">
      <c r="A85" s="1" t="s">
        <v>242</v>
      </c>
      <c r="B85" s="1" t="s">
        <v>197</v>
      </c>
      <c r="D85" s="27" t="s">
        <v>243</v>
      </c>
      <c r="F85" s="1" t="s">
        <v>37</v>
      </c>
      <c r="G85" s="1" t="s">
        <v>66</v>
      </c>
      <c r="H85" s="1" t="s">
        <v>37</v>
      </c>
      <c r="I85" s="1" t="s">
        <v>37</v>
      </c>
      <c r="J85" s="1" t="s">
        <v>66</v>
      </c>
      <c r="K85" s="1" t="s">
        <v>37</v>
      </c>
      <c r="L85" s="6"/>
    </row>
    <row r="86" spans="1:12" ht="15" x14ac:dyDescent="0.25">
      <c r="A86" s="1" t="s">
        <v>244</v>
      </c>
      <c r="B86" s="1" t="s">
        <v>197</v>
      </c>
      <c r="D86" s="27" t="s">
        <v>245</v>
      </c>
      <c r="F86" s="1" t="s">
        <v>37</v>
      </c>
      <c r="G86" s="1" t="s">
        <v>66</v>
      </c>
      <c r="H86" s="1" t="s">
        <v>37</v>
      </c>
      <c r="I86" s="1" t="s">
        <v>37</v>
      </c>
      <c r="J86" s="1" t="s">
        <v>66</v>
      </c>
      <c r="K86" s="1" t="s">
        <v>37</v>
      </c>
      <c r="L86" s="2" t="s">
        <v>246</v>
      </c>
    </row>
    <row r="87" spans="1:12" ht="15" x14ac:dyDescent="0.25">
      <c r="A87" s="1" t="s">
        <v>247</v>
      </c>
      <c r="B87" s="1" t="s">
        <v>197</v>
      </c>
      <c r="D87" s="27" t="s">
        <v>248</v>
      </c>
      <c r="F87" s="1" t="s">
        <v>37</v>
      </c>
      <c r="G87" s="1" t="s">
        <v>37</v>
      </c>
      <c r="H87" s="1" t="s">
        <v>37</v>
      </c>
      <c r="I87" s="1" t="s">
        <v>37</v>
      </c>
      <c r="J87" s="1" t="s">
        <v>37</v>
      </c>
      <c r="K87" s="1" t="s">
        <v>37</v>
      </c>
      <c r="L87" s="6"/>
    </row>
    <row r="88" spans="1:12" x14ac:dyDescent="0.2">
      <c r="A88" s="1" t="s">
        <v>249</v>
      </c>
      <c r="B88" s="1" t="s">
        <v>197</v>
      </c>
      <c r="D88" s="2" t="s">
        <v>250</v>
      </c>
      <c r="F88" s="1" t="s">
        <v>37</v>
      </c>
      <c r="G88" s="1" t="s">
        <v>37</v>
      </c>
      <c r="H88" s="1" t="s">
        <v>37</v>
      </c>
      <c r="I88" s="1" t="s">
        <v>37</v>
      </c>
      <c r="J88" s="1" t="s">
        <v>37</v>
      </c>
      <c r="K88" s="1" t="s">
        <v>37</v>
      </c>
      <c r="L88" s="6"/>
    </row>
    <row r="89" spans="1:12" ht="15" x14ac:dyDescent="0.25">
      <c r="A89" s="1" t="s">
        <v>251</v>
      </c>
      <c r="B89" s="1" t="s">
        <v>197</v>
      </c>
      <c r="D89" s="27" t="s">
        <v>252</v>
      </c>
      <c r="F89" s="1" t="s">
        <v>37</v>
      </c>
      <c r="G89" s="1" t="s">
        <v>37</v>
      </c>
      <c r="H89" s="1" t="s">
        <v>37</v>
      </c>
      <c r="I89" s="1" t="s">
        <v>37</v>
      </c>
      <c r="J89" s="1" t="s">
        <v>37</v>
      </c>
      <c r="K89" s="1" t="s">
        <v>37</v>
      </c>
      <c r="L89" s="6"/>
    </row>
    <row r="90" spans="1:12" ht="15" x14ac:dyDescent="0.25">
      <c r="A90" s="1" t="s">
        <v>253</v>
      </c>
      <c r="B90" s="1" t="s">
        <v>197</v>
      </c>
      <c r="D90" s="27" t="s">
        <v>254</v>
      </c>
      <c r="F90" s="1" t="s">
        <v>37</v>
      </c>
      <c r="G90" s="1" t="s">
        <v>37</v>
      </c>
      <c r="H90" s="1" t="s">
        <v>37</v>
      </c>
      <c r="I90" s="1" t="s">
        <v>37</v>
      </c>
      <c r="J90" s="1" t="s">
        <v>37</v>
      </c>
      <c r="K90" s="1" t="s">
        <v>37</v>
      </c>
      <c r="L90" s="2" t="s">
        <v>255</v>
      </c>
    </row>
    <row r="91" spans="1:12" ht="15" x14ac:dyDescent="0.25">
      <c r="A91" s="1" t="s">
        <v>256</v>
      </c>
      <c r="B91" s="1" t="s">
        <v>197</v>
      </c>
      <c r="D91" s="27" t="s">
        <v>257</v>
      </c>
      <c r="F91" s="1" t="s">
        <v>37</v>
      </c>
      <c r="G91" s="1" t="s">
        <v>37</v>
      </c>
      <c r="H91" s="1" t="s">
        <v>37</v>
      </c>
      <c r="I91" s="1" t="s">
        <v>37</v>
      </c>
      <c r="J91" s="1" t="s">
        <v>37</v>
      </c>
      <c r="K91" s="1" t="s">
        <v>37</v>
      </c>
      <c r="L91" s="2" t="s">
        <v>258</v>
      </c>
    </row>
    <row r="92" spans="1:12" ht="15" x14ac:dyDescent="0.25">
      <c r="A92" s="1" t="s">
        <v>259</v>
      </c>
      <c r="B92" s="1" t="s">
        <v>197</v>
      </c>
      <c r="D92" s="27" t="s">
        <v>260</v>
      </c>
      <c r="F92" s="1" t="s">
        <v>37</v>
      </c>
      <c r="G92" s="1" t="s">
        <v>37</v>
      </c>
      <c r="H92" s="1" t="s">
        <v>37</v>
      </c>
      <c r="I92" s="1" t="s">
        <v>37</v>
      </c>
      <c r="J92" s="1" t="s">
        <v>37</v>
      </c>
      <c r="K92" s="1" t="s">
        <v>37</v>
      </c>
      <c r="L92" s="6"/>
    </row>
    <row r="93" spans="1:12" ht="15" x14ac:dyDescent="0.25">
      <c r="A93" s="1" t="s">
        <v>261</v>
      </c>
      <c r="B93" s="1" t="s">
        <v>197</v>
      </c>
      <c r="D93" s="27" t="s">
        <v>262</v>
      </c>
      <c r="F93" s="1" t="s">
        <v>37</v>
      </c>
      <c r="G93" s="1" t="s">
        <v>37</v>
      </c>
      <c r="H93" s="1" t="s">
        <v>37</v>
      </c>
      <c r="I93" s="1" t="s">
        <v>37</v>
      </c>
      <c r="J93" s="1" t="s">
        <v>37</v>
      </c>
      <c r="K93" s="1" t="s">
        <v>37</v>
      </c>
      <c r="L93" s="6"/>
    </row>
    <row r="94" spans="1:12" ht="15" x14ac:dyDescent="0.25">
      <c r="A94" s="1" t="s">
        <v>263</v>
      </c>
      <c r="B94" s="1" t="s">
        <v>197</v>
      </c>
      <c r="D94" s="27" t="s">
        <v>264</v>
      </c>
      <c r="F94" s="1" t="s">
        <v>37</v>
      </c>
      <c r="G94" s="1" t="s">
        <v>37</v>
      </c>
      <c r="H94" s="1" t="s">
        <v>37</v>
      </c>
      <c r="I94" s="1" t="s">
        <v>37</v>
      </c>
      <c r="J94" s="1" t="s">
        <v>37</v>
      </c>
      <c r="K94" s="1" t="s">
        <v>37</v>
      </c>
      <c r="L94" s="2" t="s">
        <v>265</v>
      </c>
    </row>
    <row r="95" spans="1:12" ht="15" x14ac:dyDescent="0.25">
      <c r="A95" s="1" t="s">
        <v>266</v>
      </c>
      <c r="B95" s="1" t="s">
        <v>197</v>
      </c>
      <c r="D95" s="27" t="s">
        <v>267</v>
      </c>
      <c r="F95" s="1" t="s">
        <v>37</v>
      </c>
      <c r="G95" s="1" t="s">
        <v>37</v>
      </c>
      <c r="H95" s="1" t="s">
        <v>37</v>
      </c>
      <c r="I95" s="1" t="s">
        <v>37</v>
      </c>
      <c r="J95" s="1" t="s">
        <v>37</v>
      </c>
      <c r="K95" s="1" t="s">
        <v>37</v>
      </c>
      <c r="L95" s="2" t="s">
        <v>268</v>
      </c>
    </row>
    <row r="96" spans="1:12" ht="15" x14ac:dyDescent="0.25">
      <c r="A96" s="1" t="s">
        <v>269</v>
      </c>
      <c r="B96" s="1" t="s">
        <v>197</v>
      </c>
      <c r="D96" s="27" t="s">
        <v>270</v>
      </c>
      <c r="F96" s="1" t="s">
        <v>37</v>
      </c>
      <c r="G96" s="1" t="s">
        <v>37</v>
      </c>
      <c r="H96" s="1" t="s">
        <v>37</v>
      </c>
      <c r="I96" s="1" t="s">
        <v>37</v>
      </c>
      <c r="J96" s="1" t="s">
        <v>37</v>
      </c>
      <c r="K96" s="1" t="s">
        <v>37</v>
      </c>
      <c r="L96" s="2" t="s">
        <v>271</v>
      </c>
    </row>
    <row r="97" spans="1:12" ht="15" x14ac:dyDescent="0.25">
      <c r="A97" s="1" t="s">
        <v>272</v>
      </c>
      <c r="B97" s="1" t="s">
        <v>197</v>
      </c>
      <c r="D97" s="27" t="s">
        <v>273</v>
      </c>
      <c r="F97" s="1" t="s">
        <v>37</v>
      </c>
      <c r="G97" s="1" t="s">
        <v>37</v>
      </c>
      <c r="H97" s="1" t="s">
        <v>37</v>
      </c>
      <c r="I97" s="1" t="s">
        <v>37</v>
      </c>
      <c r="J97" s="1" t="s">
        <v>37</v>
      </c>
      <c r="K97" s="1" t="s">
        <v>37</v>
      </c>
      <c r="L97" s="2" t="s">
        <v>274</v>
      </c>
    </row>
    <row r="98" spans="1:12" ht="15" x14ac:dyDescent="0.25">
      <c r="A98" s="1" t="s">
        <v>275</v>
      </c>
      <c r="B98" s="1" t="s">
        <v>197</v>
      </c>
      <c r="D98" s="27" t="s">
        <v>276</v>
      </c>
      <c r="F98" s="1" t="s">
        <v>37</v>
      </c>
      <c r="G98" s="1" t="s">
        <v>37</v>
      </c>
      <c r="H98" s="1" t="s">
        <v>37</v>
      </c>
      <c r="I98" s="1" t="s">
        <v>37</v>
      </c>
      <c r="J98" s="1" t="s">
        <v>37</v>
      </c>
      <c r="K98" s="1" t="s">
        <v>37</v>
      </c>
      <c r="L98" s="2" t="s">
        <v>277</v>
      </c>
    </row>
    <row r="99" spans="1:12" ht="15" x14ac:dyDescent="0.25">
      <c r="A99" s="1" t="s">
        <v>278</v>
      </c>
      <c r="B99" s="1" t="s">
        <v>197</v>
      </c>
      <c r="D99" s="27" t="s">
        <v>279</v>
      </c>
      <c r="F99" s="1" t="s">
        <v>37</v>
      </c>
      <c r="G99" s="1" t="s">
        <v>37</v>
      </c>
      <c r="H99" s="1" t="s">
        <v>66</v>
      </c>
      <c r="I99" s="1" t="s">
        <v>37</v>
      </c>
      <c r="J99" s="1" t="s">
        <v>37</v>
      </c>
      <c r="K99" s="1" t="s">
        <v>37</v>
      </c>
      <c r="L99" s="6"/>
    </row>
    <row r="100" spans="1:12" ht="15" x14ac:dyDescent="0.25">
      <c r="A100" s="1" t="s">
        <v>280</v>
      </c>
      <c r="B100" s="1" t="s">
        <v>197</v>
      </c>
      <c r="D100" s="27" t="s">
        <v>281</v>
      </c>
      <c r="F100" s="1" t="s">
        <v>37</v>
      </c>
      <c r="G100" s="1" t="s">
        <v>37</v>
      </c>
      <c r="H100" s="1" t="s">
        <v>37</v>
      </c>
      <c r="I100" s="1" t="s">
        <v>37</v>
      </c>
      <c r="J100" s="1" t="s">
        <v>37</v>
      </c>
      <c r="K100" s="1" t="s">
        <v>37</v>
      </c>
      <c r="L100" s="2" t="s">
        <v>282</v>
      </c>
    </row>
    <row r="101" spans="1:12" ht="15" x14ac:dyDescent="0.25">
      <c r="A101" s="1" t="s">
        <v>283</v>
      </c>
      <c r="B101" s="1" t="s">
        <v>197</v>
      </c>
      <c r="D101" s="27" t="s">
        <v>284</v>
      </c>
      <c r="F101" s="1" t="s">
        <v>37</v>
      </c>
      <c r="G101" s="1" t="s">
        <v>37</v>
      </c>
      <c r="H101" s="1" t="s">
        <v>37</v>
      </c>
      <c r="I101" s="1" t="s">
        <v>37</v>
      </c>
      <c r="J101" s="1" t="s">
        <v>37</v>
      </c>
      <c r="K101" s="1" t="s">
        <v>37</v>
      </c>
      <c r="L101" s="2" t="s">
        <v>285</v>
      </c>
    </row>
    <row r="102" spans="1:12" ht="15" x14ac:dyDescent="0.25">
      <c r="A102" s="1" t="s">
        <v>286</v>
      </c>
      <c r="B102" s="1" t="s">
        <v>197</v>
      </c>
      <c r="D102" s="27" t="s">
        <v>287</v>
      </c>
      <c r="F102" s="1" t="s">
        <v>37</v>
      </c>
      <c r="G102" s="1" t="s">
        <v>37</v>
      </c>
      <c r="H102" s="1" t="s">
        <v>37</v>
      </c>
      <c r="I102" s="1" t="s">
        <v>37</v>
      </c>
      <c r="J102" s="1" t="s">
        <v>37</v>
      </c>
      <c r="K102" s="1" t="s">
        <v>37</v>
      </c>
      <c r="L102" s="2" t="s">
        <v>288</v>
      </c>
    </row>
    <row r="103" spans="1:12" x14ac:dyDescent="0.2">
      <c r="A103" s="1" t="s">
        <v>289</v>
      </c>
      <c r="B103" s="1" t="s">
        <v>197</v>
      </c>
      <c r="D103" s="6"/>
      <c r="F103" s="1" t="s">
        <v>37</v>
      </c>
      <c r="G103" s="1" t="s">
        <v>37</v>
      </c>
      <c r="H103" s="1" t="s">
        <v>37</v>
      </c>
      <c r="I103" s="1" t="s">
        <v>37</v>
      </c>
      <c r="J103" s="1" t="s">
        <v>37</v>
      </c>
      <c r="K103" s="1" t="s">
        <v>37</v>
      </c>
      <c r="L103" s="2" t="s">
        <v>290</v>
      </c>
    </row>
    <row r="104" spans="1:12" ht="15" x14ac:dyDescent="0.25">
      <c r="A104" s="1" t="s">
        <v>291</v>
      </c>
      <c r="B104" s="1" t="s">
        <v>197</v>
      </c>
      <c r="D104" s="27" t="s">
        <v>292</v>
      </c>
      <c r="F104" s="1" t="s">
        <v>37</v>
      </c>
      <c r="G104" s="1" t="s">
        <v>37</v>
      </c>
      <c r="H104" s="1" t="s">
        <v>37</v>
      </c>
      <c r="I104" s="1" t="s">
        <v>37</v>
      </c>
      <c r="J104" s="1" t="s">
        <v>37</v>
      </c>
      <c r="K104" s="1" t="s">
        <v>37</v>
      </c>
      <c r="L104" s="6"/>
    </row>
    <row r="105" spans="1:12" x14ac:dyDescent="0.2">
      <c r="A105" s="1" t="s">
        <v>293</v>
      </c>
      <c r="B105" s="1" t="s">
        <v>197</v>
      </c>
      <c r="D105" s="6" t="s">
        <v>294</v>
      </c>
      <c r="F105" s="1" t="s">
        <v>37</v>
      </c>
      <c r="G105" s="1" t="s">
        <v>37</v>
      </c>
      <c r="H105" s="1" t="s">
        <v>37</v>
      </c>
      <c r="I105" s="1" t="s">
        <v>37</v>
      </c>
      <c r="J105" s="1" t="s">
        <v>37</v>
      </c>
      <c r="K105" s="1" t="s">
        <v>37</v>
      </c>
      <c r="L105" s="2" t="s">
        <v>295</v>
      </c>
    </row>
    <row r="106" spans="1:12" ht="15" x14ac:dyDescent="0.25">
      <c r="A106" s="1" t="s">
        <v>296</v>
      </c>
      <c r="B106" s="1" t="s">
        <v>197</v>
      </c>
      <c r="D106" s="27" t="s">
        <v>297</v>
      </c>
      <c r="F106" s="1" t="s">
        <v>37</v>
      </c>
      <c r="G106" s="1" t="s">
        <v>37</v>
      </c>
      <c r="H106" s="1" t="s">
        <v>37</v>
      </c>
      <c r="I106" s="1" t="s">
        <v>37</v>
      </c>
      <c r="J106" s="1" t="s">
        <v>37</v>
      </c>
      <c r="K106" s="1" t="s">
        <v>37</v>
      </c>
      <c r="L106" s="2" t="s">
        <v>298</v>
      </c>
    </row>
    <row r="107" spans="1:12" x14ac:dyDescent="0.2">
      <c r="A107" s="1" t="s">
        <v>299</v>
      </c>
      <c r="B107" s="1" t="s">
        <v>197</v>
      </c>
      <c r="D107" s="6"/>
      <c r="F107" s="1" t="s">
        <v>37</v>
      </c>
      <c r="G107" s="1" t="s">
        <v>37</v>
      </c>
      <c r="H107" s="1" t="s">
        <v>37</v>
      </c>
      <c r="I107" s="1" t="s">
        <v>37</v>
      </c>
      <c r="J107" s="1" t="s">
        <v>37</v>
      </c>
      <c r="K107" s="1" t="s">
        <v>37</v>
      </c>
      <c r="L107" s="6"/>
    </row>
    <row r="108" spans="1:12" x14ac:dyDescent="0.2">
      <c r="A108" s="1" t="s">
        <v>300</v>
      </c>
      <c r="B108" s="1" t="s">
        <v>197</v>
      </c>
      <c r="D108" s="6"/>
      <c r="F108" s="1" t="s">
        <v>37</v>
      </c>
      <c r="G108" s="1" t="s">
        <v>37</v>
      </c>
      <c r="H108" s="1" t="s">
        <v>37</v>
      </c>
      <c r="I108" s="1" t="s">
        <v>37</v>
      </c>
      <c r="J108" s="1" t="s">
        <v>37</v>
      </c>
      <c r="K108" s="1" t="s">
        <v>37</v>
      </c>
      <c r="L108" s="6"/>
    </row>
    <row r="109" spans="1:12" x14ac:dyDescent="0.2">
      <c r="A109" s="1" t="s">
        <v>303</v>
      </c>
      <c r="B109" s="1" t="s">
        <v>197</v>
      </c>
      <c r="D109" s="6" t="s">
        <v>301</v>
      </c>
      <c r="F109" s="1" t="s">
        <v>37</v>
      </c>
      <c r="G109" s="1" t="s">
        <v>37</v>
      </c>
      <c r="H109" s="1" t="s">
        <v>37</v>
      </c>
      <c r="I109" s="1" t="s">
        <v>37</v>
      </c>
      <c r="J109" s="1" t="s">
        <v>37</v>
      </c>
      <c r="K109" s="1" t="s">
        <v>37</v>
      </c>
      <c r="L109" s="2" t="s">
        <v>302</v>
      </c>
    </row>
    <row r="110" spans="1:12" x14ac:dyDescent="0.2">
      <c r="A110" s="1" t="s">
        <v>304</v>
      </c>
      <c r="B110" s="1" t="s">
        <v>197</v>
      </c>
      <c r="D110" s="6"/>
      <c r="F110" s="1" t="s">
        <v>37</v>
      </c>
      <c r="G110" s="1" t="s">
        <v>37</v>
      </c>
      <c r="H110" s="1" t="s">
        <v>37</v>
      </c>
      <c r="I110" s="1" t="s">
        <v>37</v>
      </c>
      <c r="J110" s="1" t="s">
        <v>37</v>
      </c>
      <c r="K110" s="1" t="s">
        <v>37</v>
      </c>
      <c r="L110" s="2" t="s">
        <v>305</v>
      </c>
    </row>
    <row r="111" spans="1:12" x14ac:dyDescent="0.2">
      <c r="A111" s="1" t="s">
        <v>306</v>
      </c>
      <c r="B111" s="1" t="s">
        <v>197</v>
      </c>
      <c r="D111" s="6"/>
      <c r="F111" s="1" t="s">
        <v>37</v>
      </c>
      <c r="G111" s="1" t="s">
        <v>37</v>
      </c>
      <c r="H111" s="1" t="s">
        <v>37</v>
      </c>
      <c r="I111" s="1" t="s">
        <v>37</v>
      </c>
      <c r="J111" s="1" t="s">
        <v>37</v>
      </c>
      <c r="K111" s="1" t="s">
        <v>37</v>
      </c>
      <c r="L111" s="6"/>
    </row>
    <row r="112" spans="1:12" ht="15" x14ac:dyDescent="0.25">
      <c r="A112" s="1" t="s">
        <v>307</v>
      </c>
      <c r="B112" s="1" t="s">
        <v>197</v>
      </c>
      <c r="D112" s="27" t="s">
        <v>308</v>
      </c>
      <c r="F112" s="1" t="s">
        <v>37</v>
      </c>
      <c r="G112" s="1" t="s">
        <v>37</v>
      </c>
      <c r="H112" s="1" t="s">
        <v>37</v>
      </c>
      <c r="I112" s="1" t="s">
        <v>37</v>
      </c>
      <c r="J112" s="1" t="s">
        <v>37</v>
      </c>
      <c r="K112" s="1" t="s">
        <v>37</v>
      </c>
      <c r="L112" s="6"/>
    </row>
    <row r="113" spans="1:12" x14ac:dyDescent="0.2">
      <c r="A113" s="1" t="s">
        <v>309</v>
      </c>
      <c r="B113" s="1" t="s">
        <v>197</v>
      </c>
      <c r="D113" s="6"/>
      <c r="F113" s="1" t="s">
        <v>37</v>
      </c>
      <c r="G113" s="1" t="s">
        <v>66</v>
      </c>
      <c r="H113" s="1" t="s">
        <v>37</v>
      </c>
      <c r="I113" s="1" t="s">
        <v>37</v>
      </c>
      <c r="J113" s="1" t="s">
        <v>37</v>
      </c>
      <c r="K113" s="1" t="s">
        <v>37</v>
      </c>
      <c r="L113" s="2" t="s">
        <v>310</v>
      </c>
    </row>
    <row r="114" spans="1:12" ht="15" x14ac:dyDescent="0.25">
      <c r="A114" s="1" t="s">
        <v>311</v>
      </c>
      <c r="B114" s="1" t="s">
        <v>312</v>
      </c>
      <c r="D114" s="27" t="s">
        <v>313</v>
      </c>
      <c r="F114" s="1" t="s">
        <v>37</v>
      </c>
      <c r="G114" s="1" t="s">
        <v>37</v>
      </c>
      <c r="H114" s="1" t="s">
        <v>37</v>
      </c>
      <c r="I114" s="1" t="s">
        <v>37</v>
      </c>
      <c r="J114" s="1" t="s">
        <v>37</v>
      </c>
      <c r="K114" s="1" t="s">
        <v>37</v>
      </c>
      <c r="L114" s="2" t="s">
        <v>314</v>
      </c>
    </row>
    <row r="115" spans="1:12" ht="15" x14ac:dyDescent="0.25">
      <c r="A115" s="1" t="s">
        <v>315</v>
      </c>
      <c r="B115" s="1" t="s">
        <v>312</v>
      </c>
      <c r="D115" s="27" t="s">
        <v>316</v>
      </c>
      <c r="F115" s="1" t="s">
        <v>37</v>
      </c>
      <c r="G115" s="1" t="s">
        <v>37</v>
      </c>
      <c r="H115" s="1" t="s">
        <v>37</v>
      </c>
      <c r="I115" s="1" t="s">
        <v>37</v>
      </c>
      <c r="J115" s="1" t="s">
        <v>37</v>
      </c>
      <c r="K115" s="1" t="s">
        <v>37</v>
      </c>
      <c r="L115" s="6"/>
    </row>
    <row r="116" spans="1:12" x14ac:dyDescent="0.2">
      <c r="A116" s="1" t="s">
        <v>317</v>
      </c>
      <c r="B116" s="1" t="s">
        <v>312</v>
      </c>
      <c r="D116" s="6" t="s">
        <v>294</v>
      </c>
      <c r="F116" s="1" t="s">
        <v>37</v>
      </c>
      <c r="G116" s="1" t="s">
        <v>37</v>
      </c>
      <c r="H116" s="1" t="s">
        <v>37</v>
      </c>
      <c r="I116" s="1" t="s">
        <v>37</v>
      </c>
      <c r="J116" s="1" t="s">
        <v>37</v>
      </c>
      <c r="K116" s="1" t="s">
        <v>37</v>
      </c>
      <c r="L116" s="6"/>
    </row>
    <row r="117" spans="1:12" x14ac:dyDescent="0.2">
      <c r="A117" s="1" t="s">
        <v>318</v>
      </c>
      <c r="B117" s="1" t="s">
        <v>312</v>
      </c>
      <c r="D117" s="6"/>
      <c r="F117" s="1" t="s">
        <v>37</v>
      </c>
      <c r="G117" s="1" t="s">
        <v>66</v>
      </c>
      <c r="H117" s="1" t="s">
        <v>37</v>
      </c>
      <c r="I117" s="1" t="s">
        <v>37</v>
      </c>
      <c r="J117" s="1" t="s">
        <v>66</v>
      </c>
      <c r="K117" s="1" t="s">
        <v>37</v>
      </c>
      <c r="L117" s="2" t="s">
        <v>319</v>
      </c>
    </row>
    <row r="118" spans="1:12" ht="15" x14ac:dyDescent="0.25">
      <c r="A118" s="1" t="s">
        <v>320</v>
      </c>
      <c r="B118" s="1" t="s">
        <v>312</v>
      </c>
      <c r="D118" s="27" t="s">
        <v>321</v>
      </c>
      <c r="F118" s="1" t="s">
        <v>37</v>
      </c>
      <c r="G118" s="1" t="s">
        <v>37</v>
      </c>
      <c r="H118" s="1" t="s">
        <v>37</v>
      </c>
      <c r="I118" s="1" t="s">
        <v>37</v>
      </c>
      <c r="J118" s="1" t="s">
        <v>37</v>
      </c>
      <c r="K118" s="1" t="s">
        <v>37</v>
      </c>
      <c r="L118" s="2" t="s">
        <v>322</v>
      </c>
    </row>
    <row r="119" spans="1:12" ht="15" x14ac:dyDescent="0.25">
      <c r="A119" s="1" t="s">
        <v>323</v>
      </c>
      <c r="B119" s="1" t="s">
        <v>312</v>
      </c>
      <c r="D119" s="27" t="s">
        <v>324</v>
      </c>
      <c r="F119" s="1" t="s">
        <v>37</v>
      </c>
      <c r="G119" s="1" t="s">
        <v>37</v>
      </c>
      <c r="H119" s="1" t="s">
        <v>37</v>
      </c>
      <c r="I119" s="1" t="s">
        <v>37</v>
      </c>
      <c r="J119" s="1" t="s">
        <v>37</v>
      </c>
      <c r="K119" s="1" t="s">
        <v>37</v>
      </c>
      <c r="L119" s="2" t="s">
        <v>288</v>
      </c>
    </row>
    <row r="120" spans="1:12" x14ac:dyDescent="0.2">
      <c r="A120" s="1" t="s">
        <v>325</v>
      </c>
      <c r="B120" s="1" t="s">
        <v>312</v>
      </c>
      <c r="D120" s="6"/>
      <c r="F120" s="1" t="s">
        <v>37</v>
      </c>
      <c r="G120" s="1" t="s">
        <v>37</v>
      </c>
      <c r="H120" s="1" t="s">
        <v>37</v>
      </c>
      <c r="I120" s="1" t="s">
        <v>37</v>
      </c>
      <c r="J120" s="1" t="s">
        <v>37</v>
      </c>
      <c r="K120" s="1" t="s">
        <v>37</v>
      </c>
      <c r="L120" s="2" t="s">
        <v>326</v>
      </c>
    </row>
    <row r="121" spans="1:12" ht="15" x14ac:dyDescent="0.25">
      <c r="A121" s="1" t="s">
        <v>327</v>
      </c>
      <c r="B121" s="1" t="s">
        <v>312</v>
      </c>
      <c r="D121" s="27" t="s">
        <v>328</v>
      </c>
      <c r="F121" s="1" t="s">
        <v>37</v>
      </c>
      <c r="G121" s="1" t="s">
        <v>37</v>
      </c>
      <c r="H121" s="1" t="s">
        <v>37</v>
      </c>
      <c r="I121" s="1" t="s">
        <v>37</v>
      </c>
      <c r="J121" s="1" t="s">
        <v>37</v>
      </c>
      <c r="K121" s="1" t="s">
        <v>37</v>
      </c>
      <c r="L121" s="2" t="s">
        <v>329</v>
      </c>
    </row>
    <row r="122" spans="1:12" ht="15" x14ac:dyDescent="0.25">
      <c r="A122" s="1" t="s">
        <v>330</v>
      </c>
      <c r="B122" s="1" t="s">
        <v>312</v>
      </c>
      <c r="D122" s="27" t="s">
        <v>331</v>
      </c>
      <c r="F122" s="1" t="s">
        <v>37</v>
      </c>
      <c r="G122" s="1" t="s">
        <v>37</v>
      </c>
      <c r="H122" s="1" t="s">
        <v>37</v>
      </c>
      <c r="I122" s="1" t="s">
        <v>37</v>
      </c>
      <c r="J122" s="1" t="s">
        <v>37</v>
      </c>
      <c r="K122" s="1" t="s">
        <v>37</v>
      </c>
      <c r="L122" s="2" t="s">
        <v>332</v>
      </c>
    </row>
    <row r="123" spans="1:12" x14ac:dyDescent="0.2">
      <c r="A123" s="1" t="s">
        <v>333</v>
      </c>
      <c r="B123" s="1" t="s">
        <v>312</v>
      </c>
      <c r="D123" s="6"/>
      <c r="F123" s="1" t="s">
        <v>37</v>
      </c>
      <c r="G123" s="1" t="s">
        <v>37</v>
      </c>
      <c r="H123" s="1" t="s">
        <v>37</v>
      </c>
      <c r="I123" s="1" t="s">
        <v>37</v>
      </c>
      <c r="J123" s="1" t="s">
        <v>37</v>
      </c>
      <c r="K123" s="1" t="s">
        <v>37</v>
      </c>
      <c r="L123" s="2" t="s">
        <v>334</v>
      </c>
    </row>
    <row r="124" spans="1:12" ht="15" x14ac:dyDescent="0.25">
      <c r="A124" s="1" t="s">
        <v>335</v>
      </c>
      <c r="B124" s="1" t="s">
        <v>312</v>
      </c>
      <c r="D124" s="27" t="s">
        <v>336</v>
      </c>
      <c r="F124" s="1" t="s">
        <v>37</v>
      </c>
      <c r="G124" s="1" t="s">
        <v>37</v>
      </c>
      <c r="H124" s="1" t="s">
        <v>37</v>
      </c>
      <c r="I124" s="1" t="s">
        <v>37</v>
      </c>
      <c r="J124" s="1" t="s">
        <v>37</v>
      </c>
      <c r="K124" s="1" t="s">
        <v>37</v>
      </c>
      <c r="L124" s="2" t="s">
        <v>337</v>
      </c>
    </row>
    <row r="125" spans="1:12" x14ac:dyDescent="0.2">
      <c r="A125" s="1" t="s">
        <v>338</v>
      </c>
      <c r="B125" s="1" t="s">
        <v>312</v>
      </c>
      <c r="D125" s="6"/>
      <c r="F125" s="1" t="s">
        <v>66</v>
      </c>
      <c r="G125" s="1" t="s">
        <v>66</v>
      </c>
      <c r="H125" s="1" t="s">
        <v>66</v>
      </c>
      <c r="I125" s="1" t="s">
        <v>66</v>
      </c>
      <c r="J125" s="1" t="s">
        <v>37</v>
      </c>
      <c r="K125" s="1" t="s">
        <v>37</v>
      </c>
      <c r="L125" s="6"/>
    </row>
    <row r="126" spans="1:12" x14ac:dyDescent="0.2">
      <c r="A126" s="1" t="s">
        <v>339</v>
      </c>
      <c r="B126" s="1" t="s">
        <v>312</v>
      </c>
      <c r="D126" s="6"/>
      <c r="F126" s="1" t="s">
        <v>66</v>
      </c>
      <c r="G126" s="1" t="s">
        <v>66</v>
      </c>
      <c r="H126" s="1" t="s">
        <v>66</v>
      </c>
      <c r="I126" s="1" t="s">
        <v>66</v>
      </c>
      <c r="J126" s="1" t="s">
        <v>37</v>
      </c>
      <c r="K126" s="1" t="s">
        <v>37</v>
      </c>
      <c r="L126" s="6"/>
    </row>
    <row r="127" spans="1:12" ht="15" x14ac:dyDescent="0.25">
      <c r="A127" s="1" t="s">
        <v>340</v>
      </c>
      <c r="B127" s="1" t="s">
        <v>312</v>
      </c>
      <c r="D127" s="27" t="s">
        <v>341</v>
      </c>
      <c r="F127" s="1" t="s">
        <v>37</v>
      </c>
      <c r="G127" s="1" t="s">
        <v>37</v>
      </c>
      <c r="H127" s="1" t="s">
        <v>37</v>
      </c>
      <c r="I127" s="1" t="s">
        <v>37</v>
      </c>
      <c r="J127" s="1" t="s">
        <v>37</v>
      </c>
      <c r="K127" s="1" t="s">
        <v>37</v>
      </c>
      <c r="L127" s="2" t="s">
        <v>342</v>
      </c>
    </row>
    <row r="128" spans="1:12" ht="15" x14ac:dyDescent="0.25">
      <c r="A128" s="1" t="s">
        <v>343</v>
      </c>
      <c r="B128" s="1" t="s">
        <v>312</v>
      </c>
      <c r="D128" s="27" t="s">
        <v>344</v>
      </c>
      <c r="F128" s="1" t="s">
        <v>37</v>
      </c>
      <c r="G128" s="1" t="s">
        <v>37</v>
      </c>
      <c r="H128" s="1" t="s">
        <v>37</v>
      </c>
      <c r="I128" s="1" t="s">
        <v>37</v>
      </c>
      <c r="J128" s="1" t="s">
        <v>37</v>
      </c>
      <c r="K128" s="1" t="s">
        <v>37</v>
      </c>
      <c r="L128" s="2" t="s">
        <v>345</v>
      </c>
    </row>
    <row r="129" spans="1:12" x14ac:dyDescent="0.2">
      <c r="A129" s="1" t="s">
        <v>346</v>
      </c>
      <c r="B129" s="1" t="s">
        <v>312</v>
      </c>
      <c r="D129" s="6"/>
      <c r="F129" s="1" t="s">
        <v>37</v>
      </c>
      <c r="G129" s="1" t="s">
        <v>66</v>
      </c>
      <c r="H129" s="1" t="s">
        <v>66</v>
      </c>
      <c r="I129" s="1" t="s">
        <v>37</v>
      </c>
      <c r="J129" s="1" t="s">
        <v>66</v>
      </c>
      <c r="K129" s="1" t="s">
        <v>66</v>
      </c>
      <c r="L129" s="2" t="s">
        <v>347</v>
      </c>
    </row>
    <row r="130" spans="1:12" ht="15" x14ac:dyDescent="0.25">
      <c r="A130" s="1" t="s">
        <v>348</v>
      </c>
      <c r="B130" s="1" t="s">
        <v>312</v>
      </c>
      <c r="D130" s="27" t="s">
        <v>349</v>
      </c>
      <c r="F130" s="1" t="s">
        <v>37</v>
      </c>
      <c r="G130" s="1" t="s">
        <v>37</v>
      </c>
      <c r="H130" s="1" t="s">
        <v>37</v>
      </c>
      <c r="I130" s="1" t="s">
        <v>37</v>
      </c>
      <c r="J130" s="1" t="s">
        <v>37</v>
      </c>
      <c r="K130" s="1" t="s">
        <v>37</v>
      </c>
      <c r="L130" s="2" t="s">
        <v>350</v>
      </c>
    </row>
    <row r="131" spans="1:12" ht="15" x14ac:dyDescent="0.25">
      <c r="A131" s="1" t="s">
        <v>351</v>
      </c>
      <c r="B131" s="1" t="s">
        <v>312</v>
      </c>
      <c r="D131" s="27" t="s">
        <v>352</v>
      </c>
      <c r="F131" s="1" t="s">
        <v>37</v>
      </c>
      <c r="G131" s="1" t="s">
        <v>37</v>
      </c>
      <c r="H131" s="1" t="s">
        <v>37</v>
      </c>
      <c r="I131" s="1" t="s">
        <v>37</v>
      </c>
      <c r="J131" s="1" t="s">
        <v>37</v>
      </c>
      <c r="K131" s="1" t="s">
        <v>37</v>
      </c>
      <c r="L131" s="2" t="s">
        <v>353</v>
      </c>
    </row>
    <row r="132" spans="1:12" x14ac:dyDescent="0.2">
      <c r="A132" s="1" t="s">
        <v>354</v>
      </c>
      <c r="B132" s="1" t="s">
        <v>312</v>
      </c>
      <c r="D132" s="6"/>
      <c r="F132" s="1" t="s">
        <v>37</v>
      </c>
      <c r="G132" s="1" t="s">
        <v>66</v>
      </c>
      <c r="H132" s="1" t="s">
        <v>66</v>
      </c>
      <c r="I132" s="1" t="s">
        <v>37</v>
      </c>
      <c r="J132" s="1" t="s">
        <v>37</v>
      </c>
      <c r="K132" s="1" t="s">
        <v>66</v>
      </c>
      <c r="L132" s="2" t="s">
        <v>355</v>
      </c>
    </row>
    <row r="133" spans="1:12" ht="15" x14ac:dyDescent="0.25">
      <c r="A133" s="1" t="s">
        <v>359</v>
      </c>
      <c r="B133" s="1" t="s">
        <v>312</v>
      </c>
      <c r="D133" s="27" t="s">
        <v>356</v>
      </c>
      <c r="F133" s="1" t="s">
        <v>37</v>
      </c>
      <c r="G133" s="1" t="s">
        <v>37</v>
      </c>
      <c r="H133" s="1" t="s">
        <v>66</v>
      </c>
      <c r="I133" s="1" t="s">
        <v>37</v>
      </c>
      <c r="J133" s="1" t="s">
        <v>37</v>
      </c>
      <c r="K133" s="1" t="s">
        <v>37</v>
      </c>
      <c r="L133" s="2" t="s">
        <v>357</v>
      </c>
    </row>
    <row r="134" spans="1:12" ht="15" x14ac:dyDescent="0.25">
      <c r="A134" s="1" t="s">
        <v>358</v>
      </c>
      <c r="B134" s="1" t="s">
        <v>312</v>
      </c>
      <c r="D134" s="27" t="s">
        <v>360</v>
      </c>
      <c r="F134" s="1" t="s">
        <v>37</v>
      </c>
      <c r="G134" s="1" t="s">
        <v>37</v>
      </c>
      <c r="H134" s="1" t="s">
        <v>37</v>
      </c>
      <c r="I134" s="1" t="s">
        <v>37</v>
      </c>
      <c r="J134" s="1" t="s">
        <v>37</v>
      </c>
      <c r="K134" s="1" t="s">
        <v>37</v>
      </c>
      <c r="L134" s="6"/>
    </row>
    <row r="135" spans="1:12" x14ac:dyDescent="0.2">
      <c r="A135" s="1" t="s">
        <v>361</v>
      </c>
      <c r="B135" s="1" t="s">
        <v>312</v>
      </c>
      <c r="D135" s="6"/>
      <c r="F135" s="1" t="s">
        <v>37</v>
      </c>
      <c r="G135" s="1" t="s">
        <v>37</v>
      </c>
      <c r="H135" s="1" t="s">
        <v>37</v>
      </c>
      <c r="I135" s="1" t="s">
        <v>37</v>
      </c>
      <c r="J135" s="1" t="s">
        <v>37</v>
      </c>
      <c r="K135" s="1" t="s">
        <v>37</v>
      </c>
      <c r="L135" s="6"/>
    </row>
    <row r="136" spans="1:12" ht="15" x14ac:dyDescent="0.25">
      <c r="A136" s="1" t="s">
        <v>362</v>
      </c>
      <c r="B136" s="1" t="s">
        <v>312</v>
      </c>
      <c r="D136" s="27" t="s">
        <v>363</v>
      </c>
      <c r="F136" s="1" t="s">
        <v>37</v>
      </c>
      <c r="G136" s="1" t="s">
        <v>37</v>
      </c>
      <c r="H136" s="1" t="s">
        <v>37</v>
      </c>
      <c r="I136" s="1" t="s">
        <v>37</v>
      </c>
      <c r="J136" s="1" t="s">
        <v>37</v>
      </c>
      <c r="K136" s="1" t="s">
        <v>37</v>
      </c>
      <c r="L136" s="2" t="s">
        <v>364</v>
      </c>
    </row>
    <row r="137" spans="1:12" x14ac:dyDescent="0.2">
      <c r="A137" s="1" t="s">
        <v>365</v>
      </c>
      <c r="B137" s="1" t="s">
        <v>312</v>
      </c>
      <c r="D137" s="6" t="s">
        <v>294</v>
      </c>
      <c r="F137" s="1" t="s">
        <v>37</v>
      </c>
      <c r="G137" s="1" t="s">
        <v>37</v>
      </c>
      <c r="H137" s="1" t="s">
        <v>37</v>
      </c>
      <c r="I137" s="1" t="s">
        <v>37</v>
      </c>
      <c r="J137" s="1" t="s">
        <v>37</v>
      </c>
      <c r="K137" s="1" t="s">
        <v>37</v>
      </c>
      <c r="L137" s="2" t="s">
        <v>366</v>
      </c>
    </row>
    <row r="138" spans="1:12" ht="15" x14ac:dyDescent="0.25">
      <c r="A138" s="1" t="s">
        <v>367</v>
      </c>
      <c r="B138" s="1" t="s">
        <v>312</v>
      </c>
      <c r="D138" s="27" t="s">
        <v>368</v>
      </c>
      <c r="F138" s="1" t="s">
        <v>37</v>
      </c>
      <c r="G138" s="1" t="s">
        <v>37</v>
      </c>
      <c r="H138" s="1" t="s">
        <v>37</v>
      </c>
      <c r="I138" s="1" t="s">
        <v>37</v>
      </c>
      <c r="J138" s="1" t="s">
        <v>37</v>
      </c>
      <c r="K138" s="1" t="s">
        <v>37</v>
      </c>
      <c r="L138" s="2" t="s">
        <v>369</v>
      </c>
    </row>
    <row r="139" spans="1:12" ht="15" x14ac:dyDescent="0.25">
      <c r="A139" s="1" t="s">
        <v>370</v>
      </c>
      <c r="B139" s="1" t="s">
        <v>371</v>
      </c>
      <c r="D139" s="27" t="s">
        <v>375</v>
      </c>
      <c r="F139" s="1" t="s">
        <v>37</v>
      </c>
      <c r="G139" s="1" t="s">
        <v>37</v>
      </c>
      <c r="H139" s="1" t="s">
        <v>37</v>
      </c>
      <c r="I139" s="1" t="s">
        <v>37</v>
      </c>
      <c r="J139" s="1" t="s">
        <v>37</v>
      </c>
      <c r="K139" s="1" t="s">
        <v>37</v>
      </c>
      <c r="L139" s="2" t="s">
        <v>372</v>
      </c>
    </row>
    <row r="140" spans="1:12" ht="15" x14ac:dyDescent="0.25">
      <c r="A140" s="1" t="s">
        <v>373</v>
      </c>
      <c r="B140" s="1" t="s">
        <v>371</v>
      </c>
      <c r="D140" s="27" t="s">
        <v>374</v>
      </c>
      <c r="F140" s="1" t="s">
        <v>37</v>
      </c>
      <c r="G140" s="1" t="s">
        <v>37</v>
      </c>
      <c r="H140" s="1" t="s">
        <v>37</v>
      </c>
      <c r="I140" s="1" t="s">
        <v>37</v>
      </c>
      <c r="J140" s="1" t="s">
        <v>37</v>
      </c>
      <c r="K140" s="1" t="s">
        <v>37</v>
      </c>
      <c r="L140" s="2" t="s">
        <v>376</v>
      </c>
    </row>
    <row r="141" spans="1:12" ht="15" x14ac:dyDescent="0.25">
      <c r="A141" s="1" t="s">
        <v>377</v>
      </c>
      <c r="B141" s="1" t="s">
        <v>371</v>
      </c>
      <c r="D141" s="27" t="s">
        <v>378</v>
      </c>
      <c r="F141" s="1" t="s">
        <v>37</v>
      </c>
      <c r="G141" s="1" t="s">
        <v>66</v>
      </c>
      <c r="H141" s="1" t="s">
        <v>37</v>
      </c>
      <c r="I141" s="1" t="s">
        <v>37</v>
      </c>
      <c r="J141" s="1" t="s">
        <v>37</v>
      </c>
      <c r="K141" s="1" t="s">
        <v>37</v>
      </c>
      <c r="L141" s="6"/>
    </row>
    <row r="142" spans="1:12" ht="15" x14ac:dyDescent="0.25">
      <c r="A142" s="1" t="s">
        <v>379</v>
      </c>
      <c r="B142" s="1" t="s">
        <v>371</v>
      </c>
      <c r="D142" s="27" t="s">
        <v>380</v>
      </c>
      <c r="F142" s="1" t="s">
        <v>37</v>
      </c>
      <c r="G142" s="1" t="s">
        <v>71</v>
      </c>
      <c r="H142" s="1" t="s">
        <v>37</v>
      </c>
      <c r="I142" s="1" t="s">
        <v>37</v>
      </c>
      <c r="J142" s="1" t="s">
        <v>66</v>
      </c>
      <c r="K142" s="1" t="s">
        <v>66</v>
      </c>
      <c r="L142" s="2" t="s">
        <v>381</v>
      </c>
    </row>
    <row r="143" spans="1:12" ht="15" x14ac:dyDescent="0.25">
      <c r="A143" s="1" t="s">
        <v>382</v>
      </c>
      <c r="B143" s="1" t="s">
        <v>371</v>
      </c>
      <c r="D143" s="27" t="s">
        <v>378</v>
      </c>
      <c r="F143" s="1" t="s">
        <v>66</v>
      </c>
      <c r="G143" s="1" t="s">
        <v>66</v>
      </c>
      <c r="H143" s="1" t="s">
        <v>37</v>
      </c>
      <c r="I143" s="1" t="s">
        <v>37</v>
      </c>
      <c r="J143" s="1" t="s">
        <v>66</v>
      </c>
      <c r="K143" s="1" t="s">
        <v>66</v>
      </c>
      <c r="L143" s="2" t="s">
        <v>383</v>
      </c>
    </row>
    <row r="144" spans="1:12" x14ac:dyDescent="0.2">
      <c r="A144" s="1" t="s">
        <v>384</v>
      </c>
      <c r="B144" s="1" t="s">
        <v>371</v>
      </c>
      <c r="D144" s="6"/>
      <c r="F144" s="1" t="s">
        <v>37</v>
      </c>
      <c r="G144" s="1" t="s">
        <v>66</v>
      </c>
      <c r="H144" s="1" t="s">
        <v>37</v>
      </c>
      <c r="I144" s="1" t="s">
        <v>37</v>
      </c>
      <c r="J144" s="1" t="s">
        <v>37</v>
      </c>
      <c r="K144" s="1" t="s">
        <v>37</v>
      </c>
      <c r="L144" s="2" t="s">
        <v>385</v>
      </c>
    </row>
    <row r="145" spans="1:12" x14ac:dyDescent="0.2">
      <c r="A145" s="1" t="s">
        <v>386</v>
      </c>
      <c r="B145" s="1" t="s">
        <v>371</v>
      </c>
      <c r="D145" s="6"/>
      <c r="F145" s="1" t="s">
        <v>37</v>
      </c>
      <c r="G145" s="1" t="s">
        <v>37</v>
      </c>
      <c r="H145" s="1" t="s">
        <v>37</v>
      </c>
      <c r="I145" s="1" t="s">
        <v>37</v>
      </c>
      <c r="J145" s="1" t="s">
        <v>37</v>
      </c>
      <c r="K145" s="1" t="s">
        <v>37</v>
      </c>
      <c r="L145" s="2" t="s">
        <v>387</v>
      </c>
    </row>
    <row r="146" spans="1:12" x14ac:dyDescent="0.2">
      <c r="A146" s="1" t="s">
        <v>388</v>
      </c>
      <c r="B146" s="1" t="s">
        <v>371</v>
      </c>
      <c r="D146" s="6"/>
      <c r="F146" s="1" t="s">
        <v>37</v>
      </c>
      <c r="G146" s="1" t="s">
        <v>37</v>
      </c>
      <c r="H146" s="1" t="s">
        <v>37</v>
      </c>
      <c r="I146" s="1" t="s">
        <v>37</v>
      </c>
      <c r="J146" s="1" t="s">
        <v>37</v>
      </c>
      <c r="K146" s="1" t="s">
        <v>37</v>
      </c>
      <c r="L146" s="2" t="s">
        <v>389</v>
      </c>
    </row>
    <row r="147" spans="1:12" x14ac:dyDescent="0.2">
      <c r="A147" s="1" t="s">
        <v>390</v>
      </c>
      <c r="B147" s="1" t="s">
        <v>371</v>
      </c>
      <c r="D147" s="6"/>
      <c r="F147" s="1" t="s">
        <v>66</v>
      </c>
      <c r="G147" s="1" t="s">
        <v>66</v>
      </c>
      <c r="H147" s="1" t="s">
        <v>37</v>
      </c>
      <c r="I147" s="1" t="s">
        <v>37</v>
      </c>
      <c r="J147" s="1" t="s">
        <v>37</v>
      </c>
      <c r="K147" s="1" t="s">
        <v>66</v>
      </c>
      <c r="L147" s="2" t="s">
        <v>391</v>
      </c>
    </row>
    <row r="148" spans="1:12" x14ac:dyDescent="0.2">
      <c r="A148" s="1" t="s">
        <v>392</v>
      </c>
      <c r="B148" s="1" t="s">
        <v>371</v>
      </c>
      <c r="D148" s="6"/>
      <c r="F148" s="1" t="s">
        <v>37</v>
      </c>
      <c r="G148" s="1" t="s">
        <v>66</v>
      </c>
      <c r="H148" s="1" t="s">
        <v>37</v>
      </c>
      <c r="I148" s="1" t="s">
        <v>37</v>
      </c>
      <c r="J148" s="1" t="s">
        <v>66</v>
      </c>
      <c r="K148" s="1" t="s">
        <v>37</v>
      </c>
      <c r="L148" s="2" t="s">
        <v>393</v>
      </c>
    </row>
    <row r="149" spans="1:12" x14ac:dyDescent="0.2">
      <c r="A149" s="1" t="s">
        <v>394</v>
      </c>
      <c r="B149" s="1" t="s">
        <v>371</v>
      </c>
      <c r="D149" s="6"/>
      <c r="F149" s="1" t="s">
        <v>37</v>
      </c>
      <c r="G149" s="1" t="s">
        <v>66</v>
      </c>
      <c r="H149" s="1" t="s">
        <v>37</v>
      </c>
      <c r="I149" s="1" t="s">
        <v>37</v>
      </c>
      <c r="J149" s="1" t="s">
        <v>66</v>
      </c>
      <c r="K149" s="1" t="s">
        <v>66</v>
      </c>
      <c r="L149" s="2" t="s">
        <v>395</v>
      </c>
    </row>
    <row r="150" spans="1:12" x14ac:dyDescent="0.2">
      <c r="A150" s="1" t="s">
        <v>396</v>
      </c>
      <c r="B150" s="1" t="s">
        <v>371</v>
      </c>
      <c r="D150" s="6"/>
      <c r="F150" s="1" t="s">
        <v>37</v>
      </c>
      <c r="G150" s="1" t="s">
        <v>37</v>
      </c>
      <c r="H150" s="1" t="s">
        <v>37</v>
      </c>
      <c r="I150" s="1" t="s">
        <v>37</v>
      </c>
      <c r="J150" s="1" t="s">
        <v>37</v>
      </c>
      <c r="K150" s="1" t="s">
        <v>37</v>
      </c>
      <c r="L150" s="2" t="s">
        <v>397</v>
      </c>
    </row>
    <row r="151" spans="1:12" x14ac:dyDescent="0.2">
      <c r="A151" s="1" t="s">
        <v>399</v>
      </c>
      <c r="B151" s="1" t="s">
        <v>371</v>
      </c>
      <c r="D151" s="6"/>
      <c r="F151" s="1" t="s">
        <v>37</v>
      </c>
      <c r="G151" s="1" t="s">
        <v>37</v>
      </c>
      <c r="H151" s="1" t="s">
        <v>37</v>
      </c>
      <c r="I151" s="1" t="s">
        <v>37</v>
      </c>
      <c r="J151" s="1" t="s">
        <v>37</v>
      </c>
      <c r="K151" s="1" t="s">
        <v>37</v>
      </c>
      <c r="L151" s="2" t="s">
        <v>398</v>
      </c>
    </row>
    <row r="152" spans="1:12" x14ac:dyDescent="0.2">
      <c r="A152" s="1" t="s">
        <v>400</v>
      </c>
      <c r="B152" s="1" t="s">
        <v>371</v>
      </c>
      <c r="D152" s="6" t="s">
        <v>294</v>
      </c>
      <c r="F152" s="1" t="s">
        <v>37</v>
      </c>
      <c r="G152" s="1" t="s">
        <v>37</v>
      </c>
      <c r="H152" s="1" t="s">
        <v>37</v>
      </c>
      <c r="I152" s="1" t="s">
        <v>37</v>
      </c>
      <c r="J152" s="1" t="s">
        <v>37</v>
      </c>
      <c r="K152" s="1" t="s">
        <v>37</v>
      </c>
      <c r="L152" s="2" t="s">
        <v>401</v>
      </c>
    </row>
    <row r="153" spans="1:12" ht="15" x14ac:dyDescent="0.25">
      <c r="A153" s="1" t="s">
        <v>402</v>
      </c>
      <c r="B153" s="1" t="s">
        <v>371</v>
      </c>
      <c r="D153" s="27" t="s">
        <v>403</v>
      </c>
      <c r="F153" s="1" t="s">
        <v>37</v>
      </c>
      <c r="G153" s="1" t="s">
        <v>37</v>
      </c>
      <c r="H153" s="1" t="s">
        <v>37</v>
      </c>
      <c r="I153" s="1" t="s">
        <v>37</v>
      </c>
      <c r="J153" s="1" t="s">
        <v>37</v>
      </c>
      <c r="K153" s="1" t="s">
        <v>37</v>
      </c>
      <c r="L153" s="2" t="s">
        <v>404</v>
      </c>
    </row>
    <row r="154" spans="1:12" ht="15" x14ac:dyDescent="0.25">
      <c r="A154" s="1" t="s">
        <v>405</v>
      </c>
      <c r="B154" s="1" t="s">
        <v>371</v>
      </c>
      <c r="D154" s="27" t="s">
        <v>406</v>
      </c>
      <c r="F154" s="1" t="s">
        <v>37</v>
      </c>
      <c r="G154" s="1" t="s">
        <v>37</v>
      </c>
      <c r="H154" s="1" t="s">
        <v>37</v>
      </c>
      <c r="I154" s="1" t="s">
        <v>37</v>
      </c>
      <c r="J154" s="1" t="s">
        <v>37</v>
      </c>
      <c r="K154" s="1" t="s">
        <v>37</v>
      </c>
      <c r="L154" s="2" t="s">
        <v>407</v>
      </c>
    </row>
    <row r="155" spans="1:12" x14ac:dyDescent="0.2">
      <c r="A155" s="1" t="s">
        <v>408</v>
      </c>
      <c r="B155" s="1" t="s">
        <v>371</v>
      </c>
      <c r="D155" s="6"/>
      <c r="F155" s="1" t="s">
        <v>37</v>
      </c>
      <c r="G155" s="1" t="s">
        <v>37</v>
      </c>
      <c r="H155" s="1" t="s">
        <v>37</v>
      </c>
      <c r="I155" s="1" t="s">
        <v>37</v>
      </c>
      <c r="J155" s="1" t="s">
        <v>37</v>
      </c>
      <c r="K155" s="1" t="s">
        <v>37</v>
      </c>
      <c r="L155" s="6"/>
    </row>
    <row r="156" spans="1:12" ht="15" x14ac:dyDescent="0.25">
      <c r="A156" s="1" t="s">
        <v>409</v>
      </c>
      <c r="B156" s="1" t="s">
        <v>371</v>
      </c>
      <c r="D156" s="27" t="s">
        <v>410</v>
      </c>
      <c r="F156" s="1" t="s">
        <v>37</v>
      </c>
      <c r="G156" s="1" t="s">
        <v>37</v>
      </c>
      <c r="H156" s="1" t="s">
        <v>37</v>
      </c>
      <c r="I156" s="1" t="s">
        <v>37</v>
      </c>
      <c r="J156" s="1" t="s">
        <v>37</v>
      </c>
      <c r="K156" s="1" t="s">
        <v>37</v>
      </c>
      <c r="L156" s="2" t="s">
        <v>411</v>
      </c>
    </row>
    <row r="157" spans="1:12" ht="15" x14ac:dyDescent="0.25">
      <c r="A157" s="1" t="s">
        <v>412</v>
      </c>
      <c r="B157" s="1" t="s">
        <v>371</v>
      </c>
      <c r="D157" s="27" t="s">
        <v>413</v>
      </c>
      <c r="F157" s="1" t="s">
        <v>37</v>
      </c>
      <c r="G157" s="1" t="s">
        <v>37</v>
      </c>
      <c r="H157" s="1" t="s">
        <v>37</v>
      </c>
      <c r="I157" s="1" t="s">
        <v>37</v>
      </c>
      <c r="J157" s="1" t="s">
        <v>37</v>
      </c>
      <c r="K157" s="1" t="s">
        <v>37</v>
      </c>
      <c r="L157" s="2" t="s">
        <v>414</v>
      </c>
    </row>
    <row r="158" spans="1:12" ht="15" x14ac:dyDescent="0.25">
      <c r="A158" s="1" t="s">
        <v>416</v>
      </c>
      <c r="B158" s="1" t="s">
        <v>371</v>
      </c>
      <c r="D158" s="27" t="s">
        <v>415</v>
      </c>
      <c r="F158" s="1" t="s">
        <v>37</v>
      </c>
      <c r="G158" s="1" t="s">
        <v>37</v>
      </c>
      <c r="H158" s="1" t="s">
        <v>37</v>
      </c>
      <c r="I158" s="1" t="s">
        <v>37</v>
      </c>
      <c r="J158" s="1" t="s">
        <v>37</v>
      </c>
      <c r="K158" s="1" t="s">
        <v>37</v>
      </c>
      <c r="L158" s="6"/>
    </row>
    <row r="159" spans="1:12" ht="15" x14ac:dyDescent="0.25">
      <c r="A159" s="1" t="s">
        <v>417</v>
      </c>
      <c r="B159" s="1" t="s">
        <v>371</v>
      </c>
      <c r="D159" s="27" t="s">
        <v>418</v>
      </c>
      <c r="F159" s="1" t="s">
        <v>37</v>
      </c>
      <c r="G159" s="1" t="s">
        <v>37</v>
      </c>
      <c r="H159" s="1" t="s">
        <v>37</v>
      </c>
      <c r="I159" s="1" t="s">
        <v>37</v>
      </c>
      <c r="J159" s="1" t="s">
        <v>37</v>
      </c>
      <c r="K159" s="1" t="s">
        <v>37</v>
      </c>
      <c r="L159" s="2" t="s">
        <v>419</v>
      </c>
    </row>
    <row r="160" spans="1:12" x14ac:dyDescent="0.2">
      <c r="A160" s="1" t="s">
        <v>420</v>
      </c>
      <c r="B160" s="1" t="s">
        <v>371</v>
      </c>
      <c r="D160" s="6"/>
      <c r="F160" s="1" t="s">
        <v>37</v>
      </c>
      <c r="G160" s="1" t="s">
        <v>37</v>
      </c>
      <c r="H160" s="1" t="s">
        <v>37</v>
      </c>
      <c r="I160" s="1" t="s">
        <v>37</v>
      </c>
      <c r="J160" s="1" t="s">
        <v>37</v>
      </c>
      <c r="K160" s="1" t="s">
        <v>37</v>
      </c>
      <c r="L160" s="2" t="s">
        <v>421</v>
      </c>
    </row>
    <row r="161" spans="1:12" ht="15" x14ac:dyDescent="0.25">
      <c r="A161" s="1" t="s">
        <v>422</v>
      </c>
      <c r="B161" s="1" t="s">
        <v>371</v>
      </c>
      <c r="D161" s="27" t="s">
        <v>423</v>
      </c>
      <c r="F161" s="1" t="s">
        <v>37</v>
      </c>
      <c r="G161" s="1" t="s">
        <v>37</v>
      </c>
      <c r="H161" s="1" t="s">
        <v>37</v>
      </c>
      <c r="I161" s="1" t="s">
        <v>37</v>
      </c>
      <c r="J161" s="1" t="s">
        <v>37</v>
      </c>
      <c r="K161" s="1" t="s">
        <v>37</v>
      </c>
      <c r="L161" s="2" t="s">
        <v>424</v>
      </c>
    </row>
    <row r="162" spans="1:12" x14ac:dyDescent="0.2">
      <c r="A162" s="1" t="s">
        <v>425</v>
      </c>
      <c r="B162" s="1" t="s">
        <v>371</v>
      </c>
      <c r="D162" s="6"/>
      <c r="F162" s="1" t="s">
        <v>37</v>
      </c>
      <c r="G162" s="1" t="s">
        <v>37</v>
      </c>
      <c r="H162" s="1" t="s">
        <v>37</v>
      </c>
      <c r="I162" s="1" t="s">
        <v>37</v>
      </c>
      <c r="J162" s="1" t="s">
        <v>37</v>
      </c>
      <c r="K162" s="1" t="s">
        <v>37</v>
      </c>
      <c r="L162" s="2" t="s">
        <v>426</v>
      </c>
    </row>
    <row r="163" spans="1:12" x14ac:dyDescent="0.2">
      <c r="A163" s="1" t="s">
        <v>427</v>
      </c>
      <c r="B163" s="1" t="s">
        <v>371</v>
      </c>
      <c r="D163" s="6"/>
      <c r="F163" s="1" t="s">
        <v>37</v>
      </c>
      <c r="G163" s="1" t="s">
        <v>37</v>
      </c>
      <c r="H163" s="1" t="s">
        <v>37</v>
      </c>
      <c r="I163" s="1" t="s">
        <v>37</v>
      </c>
      <c r="J163" s="1" t="s">
        <v>37</v>
      </c>
      <c r="K163" s="1" t="s">
        <v>37</v>
      </c>
      <c r="L163" s="2" t="s">
        <v>428</v>
      </c>
    </row>
    <row r="164" spans="1:12" ht="15" x14ac:dyDescent="0.25">
      <c r="A164" s="1" t="s">
        <v>429</v>
      </c>
      <c r="B164" s="1" t="s">
        <v>371</v>
      </c>
      <c r="D164" s="27" t="s">
        <v>430</v>
      </c>
      <c r="F164" s="1" t="s">
        <v>37</v>
      </c>
      <c r="G164" s="1" t="s">
        <v>37</v>
      </c>
      <c r="H164" s="1" t="s">
        <v>66</v>
      </c>
      <c r="I164" s="1" t="s">
        <v>37</v>
      </c>
      <c r="J164" s="1" t="s">
        <v>37</v>
      </c>
      <c r="K164" s="1" t="s">
        <v>66</v>
      </c>
      <c r="L164" s="2" t="s">
        <v>431</v>
      </c>
    </row>
    <row r="165" spans="1:12" x14ac:dyDescent="0.2">
      <c r="A165" s="1" t="s">
        <v>432</v>
      </c>
      <c r="B165" s="1" t="s">
        <v>371</v>
      </c>
      <c r="D165" s="6"/>
      <c r="F165" s="1" t="s">
        <v>37</v>
      </c>
      <c r="G165" s="1" t="s">
        <v>37</v>
      </c>
      <c r="H165" s="1" t="s">
        <v>37</v>
      </c>
      <c r="I165" s="1" t="s">
        <v>37</v>
      </c>
      <c r="J165" s="1" t="s">
        <v>37</v>
      </c>
      <c r="K165" s="1" t="s">
        <v>37</v>
      </c>
      <c r="L165" s="2" t="s">
        <v>433</v>
      </c>
    </row>
    <row r="166" spans="1:12" x14ac:dyDescent="0.2">
      <c r="A166" s="1" t="s">
        <v>434</v>
      </c>
      <c r="B166" s="1" t="s">
        <v>371</v>
      </c>
      <c r="D166" s="6"/>
      <c r="F166" s="1" t="s">
        <v>37</v>
      </c>
      <c r="G166" s="1" t="s">
        <v>37</v>
      </c>
      <c r="H166" s="1" t="s">
        <v>37</v>
      </c>
      <c r="I166" s="1" t="s">
        <v>37</v>
      </c>
      <c r="J166" s="1" t="s">
        <v>37</v>
      </c>
      <c r="K166" s="1" t="s">
        <v>37</v>
      </c>
      <c r="L166" s="2" t="s">
        <v>435</v>
      </c>
    </row>
    <row r="167" spans="1:12" x14ac:dyDescent="0.2">
      <c r="A167" s="1" t="s">
        <v>436</v>
      </c>
      <c r="B167" s="1" t="s">
        <v>371</v>
      </c>
      <c r="D167" s="6"/>
      <c r="F167" s="1" t="s">
        <v>37</v>
      </c>
      <c r="G167" s="1" t="s">
        <v>37</v>
      </c>
      <c r="H167" s="1" t="s">
        <v>37</v>
      </c>
      <c r="I167" s="1" t="s">
        <v>37</v>
      </c>
      <c r="J167" s="1" t="s">
        <v>37</v>
      </c>
      <c r="K167" s="1" t="s">
        <v>37</v>
      </c>
      <c r="L167" s="2" t="s">
        <v>437</v>
      </c>
    </row>
    <row r="168" spans="1:12" ht="15" x14ac:dyDescent="0.25">
      <c r="A168" s="1" t="s">
        <v>438</v>
      </c>
      <c r="B168" s="1" t="s">
        <v>371</v>
      </c>
      <c r="D168" s="27" t="s">
        <v>439</v>
      </c>
      <c r="F168" s="1" t="s">
        <v>37</v>
      </c>
      <c r="G168" s="1" t="s">
        <v>37</v>
      </c>
      <c r="H168" s="1" t="s">
        <v>37</v>
      </c>
      <c r="I168" s="1" t="s">
        <v>37</v>
      </c>
      <c r="J168" s="1" t="s">
        <v>37</v>
      </c>
      <c r="K168" s="1" t="s">
        <v>37</v>
      </c>
      <c r="L168" s="2" t="s">
        <v>440</v>
      </c>
    </row>
    <row r="169" spans="1:12" ht="15" x14ac:dyDescent="0.25">
      <c r="A169" s="1" t="s">
        <v>441</v>
      </c>
      <c r="B169" s="1" t="s">
        <v>371</v>
      </c>
      <c r="D169" s="27" t="s">
        <v>442</v>
      </c>
      <c r="F169" s="1" t="s">
        <v>37</v>
      </c>
      <c r="G169" s="1" t="s">
        <v>37</v>
      </c>
      <c r="H169" s="1" t="s">
        <v>37</v>
      </c>
      <c r="I169" s="1" t="s">
        <v>37</v>
      </c>
      <c r="J169" s="1" t="s">
        <v>37</v>
      </c>
      <c r="K169" s="1" t="s">
        <v>37</v>
      </c>
      <c r="L169" s="2" t="s">
        <v>443</v>
      </c>
    </row>
    <row r="170" spans="1:12" ht="15" x14ac:dyDescent="0.25">
      <c r="A170" s="1" t="s">
        <v>444</v>
      </c>
      <c r="B170" s="1" t="s">
        <v>371</v>
      </c>
      <c r="D170" s="27" t="s">
        <v>445</v>
      </c>
      <c r="F170" s="1" t="s">
        <v>37</v>
      </c>
      <c r="G170" s="1" t="s">
        <v>37</v>
      </c>
      <c r="H170" s="1" t="s">
        <v>37</v>
      </c>
      <c r="I170" s="1" t="s">
        <v>37</v>
      </c>
      <c r="J170" s="1" t="s">
        <v>37</v>
      </c>
      <c r="K170" s="1" t="s">
        <v>37</v>
      </c>
      <c r="L170" s="2" t="s">
        <v>446</v>
      </c>
    </row>
    <row r="171" spans="1:12" ht="15" x14ac:dyDescent="0.25">
      <c r="A171" s="1" t="s">
        <v>447</v>
      </c>
      <c r="B171" s="1" t="s">
        <v>371</v>
      </c>
      <c r="D171" s="27" t="s">
        <v>448</v>
      </c>
      <c r="F171" s="1" t="s">
        <v>37</v>
      </c>
      <c r="G171" s="1" t="s">
        <v>37</v>
      </c>
      <c r="H171" s="1" t="s">
        <v>37</v>
      </c>
      <c r="I171" s="1" t="s">
        <v>37</v>
      </c>
      <c r="J171" s="1" t="s">
        <v>37</v>
      </c>
      <c r="K171" s="1" t="s">
        <v>37</v>
      </c>
      <c r="L171" s="2" t="s">
        <v>451</v>
      </c>
    </row>
    <row r="172" spans="1:12" ht="15" x14ac:dyDescent="0.25">
      <c r="A172" s="1" t="s">
        <v>449</v>
      </c>
      <c r="B172" s="1" t="s">
        <v>371</v>
      </c>
      <c r="D172" s="27" t="s">
        <v>450</v>
      </c>
      <c r="F172" s="1" t="s">
        <v>37</v>
      </c>
      <c r="G172" s="1" t="s">
        <v>37</v>
      </c>
      <c r="H172" s="1" t="s">
        <v>37</v>
      </c>
      <c r="I172" s="1" t="s">
        <v>37</v>
      </c>
      <c r="J172" s="1" t="s">
        <v>37</v>
      </c>
      <c r="K172" s="1" t="s">
        <v>37</v>
      </c>
      <c r="L172" s="6"/>
    </row>
    <row r="173" spans="1:12" ht="15" x14ac:dyDescent="0.25">
      <c r="A173" s="1" t="s">
        <v>452</v>
      </c>
      <c r="B173" s="1" t="s">
        <v>371</v>
      </c>
      <c r="D173" s="27" t="s">
        <v>453</v>
      </c>
      <c r="F173" s="1" t="s">
        <v>37</v>
      </c>
      <c r="G173" s="1" t="s">
        <v>66</v>
      </c>
      <c r="H173" s="1" t="s">
        <v>66</v>
      </c>
      <c r="I173" s="1" t="s">
        <v>66</v>
      </c>
      <c r="J173" s="1" t="s">
        <v>66</v>
      </c>
      <c r="K173" s="1" t="s">
        <v>66</v>
      </c>
      <c r="L173" s="6"/>
    </row>
    <row r="174" spans="1:12" ht="15" x14ac:dyDescent="0.25">
      <c r="A174" s="1" t="s">
        <v>454</v>
      </c>
      <c r="B174" s="1" t="s">
        <v>371</v>
      </c>
      <c r="D174" s="27" t="s">
        <v>455</v>
      </c>
      <c r="F174" s="1" t="s">
        <v>37</v>
      </c>
      <c r="G174" s="1" t="s">
        <v>66</v>
      </c>
      <c r="H174" s="1" t="s">
        <v>37</v>
      </c>
      <c r="I174" s="1" t="s">
        <v>37</v>
      </c>
      <c r="J174" s="1" t="s">
        <v>37</v>
      </c>
      <c r="K174" s="1" t="s">
        <v>37</v>
      </c>
      <c r="L174" s="2" t="s">
        <v>456</v>
      </c>
    </row>
    <row r="175" spans="1:12" ht="15" x14ac:dyDescent="0.25">
      <c r="A175" s="1" t="s">
        <v>457</v>
      </c>
      <c r="B175" s="1" t="s">
        <v>371</v>
      </c>
      <c r="D175" s="29"/>
      <c r="F175" s="1" t="s">
        <v>37</v>
      </c>
      <c r="G175" s="1" t="s">
        <v>37</v>
      </c>
      <c r="H175" s="1" t="s">
        <v>66</v>
      </c>
      <c r="I175" s="1" t="s">
        <v>37</v>
      </c>
      <c r="J175" s="1" t="s">
        <v>37</v>
      </c>
      <c r="K175" s="1" t="s">
        <v>37</v>
      </c>
      <c r="L175" s="2" t="s">
        <v>458</v>
      </c>
    </row>
    <row r="176" spans="1:12" ht="15" x14ac:dyDescent="0.25">
      <c r="A176" s="1" t="s">
        <v>459</v>
      </c>
      <c r="B176" s="1" t="s">
        <v>371</v>
      </c>
      <c r="D176" s="27" t="s">
        <v>462</v>
      </c>
      <c r="F176" s="1" t="s">
        <v>37</v>
      </c>
      <c r="G176" s="1" t="s">
        <v>37</v>
      </c>
      <c r="H176" s="1" t="s">
        <v>37</v>
      </c>
      <c r="I176" s="1" t="s">
        <v>37</v>
      </c>
      <c r="J176" s="1" t="s">
        <v>37</v>
      </c>
      <c r="K176" s="1" t="s">
        <v>37</v>
      </c>
      <c r="L176" s="2" t="s">
        <v>460</v>
      </c>
    </row>
    <row r="177" spans="1:12" x14ac:dyDescent="0.2">
      <c r="A177" s="1" t="s">
        <v>461</v>
      </c>
      <c r="B177" s="1" t="s">
        <v>371</v>
      </c>
      <c r="D177" s="6"/>
      <c r="F177" s="1" t="s">
        <v>37</v>
      </c>
      <c r="G177" s="1" t="s">
        <v>66</v>
      </c>
      <c r="H177" s="1" t="s">
        <v>66</v>
      </c>
      <c r="I177" s="1" t="s">
        <v>37</v>
      </c>
      <c r="J177" s="1" t="s">
        <v>66</v>
      </c>
      <c r="K177" s="1" t="s">
        <v>37</v>
      </c>
      <c r="L177" s="2" t="s">
        <v>463</v>
      </c>
    </row>
    <row r="178" spans="1:12" x14ac:dyDescent="0.2">
      <c r="A178" s="1" t="s">
        <v>464</v>
      </c>
      <c r="B178" s="1" t="s">
        <v>465</v>
      </c>
      <c r="D178" s="6" t="s">
        <v>294</v>
      </c>
      <c r="F178" s="1" t="s">
        <v>37</v>
      </c>
      <c r="G178" s="1" t="s">
        <v>37</v>
      </c>
      <c r="H178" s="1" t="s">
        <v>37</v>
      </c>
      <c r="I178" s="1" t="s">
        <v>37</v>
      </c>
      <c r="J178" s="1" t="s">
        <v>37</v>
      </c>
      <c r="K178" s="1" t="s">
        <v>37</v>
      </c>
      <c r="L178" s="2" t="s">
        <v>466</v>
      </c>
    </row>
    <row r="179" spans="1:12" x14ac:dyDescent="0.2">
      <c r="A179" s="1" t="s">
        <v>468</v>
      </c>
      <c r="B179" s="1" t="s">
        <v>465</v>
      </c>
      <c r="D179" s="6"/>
      <c r="F179" s="1" t="s">
        <v>37</v>
      </c>
      <c r="G179" s="1" t="s">
        <v>37</v>
      </c>
      <c r="H179" s="1" t="s">
        <v>37</v>
      </c>
      <c r="I179" s="1" t="s">
        <v>37</v>
      </c>
      <c r="J179" s="1" t="s">
        <v>37</v>
      </c>
      <c r="K179" s="1" t="s">
        <v>37</v>
      </c>
      <c r="L179" s="2" t="s">
        <v>467</v>
      </c>
    </row>
    <row r="180" spans="1:12" x14ac:dyDescent="0.2">
      <c r="A180" s="1" t="s">
        <v>469</v>
      </c>
      <c r="B180" s="1" t="s">
        <v>465</v>
      </c>
      <c r="D180" s="6"/>
      <c r="F180" s="1" t="s">
        <v>37</v>
      </c>
      <c r="G180" s="1" t="s">
        <v>37</v>
      </c>
      <c r="H180" s="1" t="s">
        <v>37</v>
      </c>
      <c r="I180" s="1" t="s">
        <v>37</v>
      </c>
      <c r="J180" s="1" t="s">
        <v>37</v>
      </c>
      <c r="K180" s="1" t="s">
        <v>37</v>
      </c>
      <c r="L180" s="6"/>
    </row>
    <row r="181" spans="1:12" ht="15" x14ac:dyDescent="0.25">
      <c r="A181" s="1" t="s">
        <v>470</v>
      </c>
      <c r="B181" s="1" t="s">
        <v>465</v>
      </c>
      <c r="D181" s="27" t="s">
        <v>471</v>
      </c>
      <c r="F181" s="1" t="s">
        <v>37</v>
      </c>
      <c r="G181" s="1" t="s">
        <v>37</v>
      </c>
      <c r="H181" s="1" t="s">
        <v>37</v>
      </c>
      <c r="I181" s="1" t="s">
        <v>37</v>
      </c>
      <c r="J181" s="1" t="s">
        <v>37</v>
      </c>
      <c r="K181" s="1" t="s">
        <v>37</v>
      </c>
      <c r="L181" s="6"/>
    </row>
    <row r="182" spans="1:12" x14ac:dyDescent="0.2">
      <c r="A182" s="1" t="s">
        <v>472</v>
      </c>
      <c r="B182" s="1" t="s">
        <v>465</v>
      </c>
      <c r="D182" s="6"/>
      <c r="F182" s="1" t="s">
        <v>37</v>
      </c>
      <c r="G182" s="1" t="s">
        <v>37</v>
      </c>
      <c r="H182" s="1" t="s">
        <v>37</v>
      </c>
      <c r="I182" s="1" t="s">
        <v>37</v>
      </c>
      <c r="J182" s="1" t="s">
        <v>37</v>
      </c>
      <c r="K182" s="1" t="s">
        <v>37</v>
      </c>
      <c r="L182" s="6"/>
    </row>
    <row r="183" spans="1:12" ht="15" x14ac:dyDescent="0.25">
      <c r="A183" s="1" t="s">
        <v>473</v>
      </c>
      <c r="B183" s="1" t="s">
        <v>465</v>
      </c>
      <c r="D183" s="27" t="s">
        <v>474</v>
      </c>
      <c r="F183" s="1" t="s">
        <v>37</v>
      </c>
      <c r="G183" s="1" t="s">
        <v>37</v>
      </c>
      <c r="H183" s="1" t="s">
        <v>37</v>
      </c>
      <c r="I183" s="1" t="s">
        <v>37</v>
      </c>
      <c r="J183" s="1" t="s">
        <v>37</v>
      </c>
      <c r="K183" s="1" t="s">
        <v>37</v>
      </c>
      <c r="L183" s="2" t="s">
        <v>475</v>
      </c>
    </row>
    <row r="184" spans="1:12" x14ac:dyDescent="0.2">
      <c r="A184" s="1" t="s">
        <v>476</v>
      </c>
      <c r="B184" s="1" t="s">
        <v>465</v>
      </c>
      <c r="D184" s="6"/>
      <c r="F184" s="1" t="s">
        <v>37</v>
      </c>
      <c r="G184" s="1" t="s">
        <v>37</v>
      </c>
      <c r="H184" s="1" t="s">
        <v>37</v>
      </c>
      <c r="I184" s="1" t="s">
        <v>37</v>
      </c>
      <c r="J184" s="1" t="s">
        <v>37</v>
      </c>
      <c r="K184" s="1" t="s">
        <v>37</v>
      </c>
      <c r="L184" s="2" t="s">
        <v>477</v>
      </c>
    </row>
    <row r="185" spans="1:12" ht="15" x14ac:dyDescent="0.25">
      <c r="A185" s="1" t="s">
        <v>478</v>
      </c>
      <c r="B185" s="1" t="s">
        <v>465</v>
      </c>
      <c r="D185" s="27" t="s">
        <v>479</v>
      </c>
      <c r="F185" s="1" t="s">
        <v>37</v>
      </c>
      <c r="G185" s="1" t="s">
        <v>37</v>
      </c>
      <c r="H185" s="1" t="s">
        <v>37</v>
      </c>
      <c r="I185" s="1" t="s">
        <v>37</v>
      </c>
      <c r="J185" s="1" t="s">
        <v>37</v>
      </c>
      <c r="K185" s="1" t="s">
        <v>37</v>
      </c>
      <c r="L185" s="2" t="s">
        <v>480</v>
      </c>
    </row>
    <row r="186" spans="1:12" ht="15" x14ac:dyDescent="0.25">
      <c r="A186" s="1" t="s">
        <v>481</v>
      </c>
      <c r="B186" s="1" t="s">
        <v>465</v>
      </c>
      <c r="D186" s="27" t="s">
        <v>482</v>
      </c>
      <c r="F186" s="1" t="s">
        <v>37</v>
      </c>
      <c r="G186" s="1" t="s">
        <v>37</v>
      </c>
      <c r="H186" s="1" t="s">
        <v>37</v>
      </c>
      <c r="I186" s="1" t="s">
        <v>37</v>
      </c>
      <c r="J186" s="1" t="s">
        <v>37</v>
      </c>
      <c r="K186" s="1" t="s">
        <v>37</v>
      </c>
      <c r="L186" s="2" t="s">
        <v>483</v>
      </c>
    </row>
    <row r="187" spans="1:12" ht="15" x14ac:dyDescent="0.25">
      <c r="A187" s="1" t="s">
        <v>484</v>
      </c>
      <c r="B187" s="1" t="s">
        <v>465</v>
      </c>
      <c r="D187" s="27" t="s">
        <v>482</v>
      </c>
      <c r="F187" s="1" t="s">
        <v>37</v>
      </c>
      <c r="G187" s="1" t="s">
        <v>37</v>
      </c>
      <c r="H187" s="1" t="s">
        <v>37</v>
      </c>
      <c r="I187" s="1" t="s">
        <v>37</v>
      </c>
      <c r="J187" s="1" t="s">
        <v>37</v>
      </c>
      <c r="K187" s="1" t="s">
        <v>37</v>
      </c>
      <c r="L187" s="2" t="s">
        <v>485</v>
      </c>
    </row>
    <row r="188" spans="1:12" x14ac:dyDescent="0.2">
      <c r="A188" s="1" t="s">
        <v>486</v>
      </c>
      <c r="B188" s="1" t="s">
        <v>465</v>
      </c>
      <c r="D188" s="6"/>
      <c r="F188" s="1" t="s">
        <v>37</v>
      </c>
      <c r="G188" s="1" t="s">
        <v>66</v>
      </c>
      <c r="H188" s="1" t="s">
        <v>71</v>
      </c>
      <c r="I188" s="1" t="s">
        <v>37</v>
      </c>
      <c r="J188" s="1" t="s">
        <v>37</v>
      </c>
      <c r="K188" s="1" t="s">
        <v>66</v>
      </c>
      <c r="L188" s="2" t="s">
        <v>487</v>
      </c>
    </row>
    <row r="189" spans="1:12" ht="15" x14ac:dyDescent="0.25">
      <c r="A189" s="1" t="s">
        <v>488</v>
      </c>
      <c r="B189" s="1" t="s">
        <v>465</v>
      </c>
      <c r="D189" s="27" t="s">
        <v>489</v>
      </c>
      <c r="F189" s="1" t="s">
        <v>37</v>
      </c>
      <c r="G189" s="1" t="s">
        <v>37</v>
      </c>
      <c r="H189" s="1" t="s">
        <v>37</v>
      </c>
      <c r="I189" s="1" t="s">
        <v>37</v>
      </c>
      <c r="J189" s="1" t="s">
        <v>37</v>
      </c>
      <c r="K189" s="1" t="s">
        <v>37</v>
      </c>
      <c r="L189" s="2" t="s">
        <v>490</v>
      </c>
    </row>
    <row r="190" spans="1:12" ht="15" x14ac:dyDescent="0.25">
      <c r="A190" s="1" t="s">
        <v>491</v>
      </c>
      <c r="B190" s="1" t="s">
        <v>465</v>
      </c>
      <c r="D190" s="27" t="s">
        <v>489</v>
      </c>
      <c r="F190" s="1" t="s">
        <v>37</v>
      </c>
      <c r="G190" s="1" t="s">
        <v>66</v>
      </c>
      <c r="H190" s="1" t="s">
        <v>37</v>
      </c>
      <c r="I190" s="1" t="s">
        <v>37</v>
      </c>
      <c r="J190" s="1" t="s">
        <v>37</v>
      </c>
      <c r="K190" s="1" t="s">
        <v>37</v>
      </c>
      <c r="L190" s="2" t="s">
        <v>492</v>
      </c>
    </row>
    <row r="191" spans="1:12" ht="15" x14ac:dyDescent="0.25">
      <c r="A191" s="1" t="s">
        <v>493</v>
      </c>
      <c r="B191" s="1" t="s">
        <v>465</v>
      </c>
      <c r="D191" s="27" t="s">
        <v>494</v>
      </c>
      <c r="F191" s="1" t="s">
        <v>37</v>
      </c>
      <c r="G191" s="1" t="s">
        <v>66</v>
      </c>
      <c r="H191" s="1" t="s">
        <v>37</v>
      </c>
      <c r="I191" s="1" t="s">
        <v>37</v>
      </c>
      <c r="J191" s="1" t="s">
        <v>37</v>
      </c>
      <c r="K191" s="1" t="s">
        <v>37</v>
      </c>
      <c r="L191" s="2" t="s">
        <v>495</v>
      </c>
    </row>
    <row r="192" spans="1:12" ht="15" x14ac:dyDescent="0.25">
      <c r="A192" s="1" t="s">
        <v>496</v>
      </c>
      <c r="B192" s="1" t="s">
        <v>465</v>
      </c>
      <c r="D192" s="27" t="s">
        <v>497</v>
      </c>
      <c r="F192" s="1" t="s">
        <v>37</v>
      </c>
      <c r="G192" s="1" t="s">
        <v>66</v>
      </c>
      <c r="H192" s="1" t="s">
        <v>37</v>
      </c>
      <c r="I192" s="1" t="s">
        <v>37</v>
      </c>
      <c r="J192" s="1" t="s">
        <v>37</v>
      </c>
      <c r="K192" s="1" t="s">
        <v>37</v>
      </c>
      <c r="L192" s="6"/>
    </row>
    <row r="193" spans="1:12" ht="15" x14ac:dyDescent="0.25">
      <c r="A193" s="1" t="s">
        <v>498</v>
      </c>
      <c r="B193" s="1" t="s">
        <v>465</v>
      </c>
      <c r="D193" s="27" t="s">
        <v>499</v>
      </c>
      <c r="F193" s="1" t="s">
        <v>37</v>
      </c>
      <c r="G193" s="1" t="s">
        <v>37</v>
      </c>
      <c r="H193" s="1" t="s">
        <v>37</v>
      </c>
      <c r="I193" s="1" t="s">
        <v>37</v>
      </c>
      <c r="J193" s="1" t="s">
        <v>37</v>
      </c>
      <c r="K193" s="1" t="s">
        <v>37</v>
      </c>
      <c r="L193" s="2" t="s">
        <v>500</v>
      </c>
    </row>
    <row r="194" spans="1:12" ht="15" x14ac:dyDescent="0.25">
      <c r="A194" s="1" t="s">
        <v>501</v>
      </c>
      <c r="B194" s="1" t="s">
        <v>465</v>
      </c>
      <c r="D194" s="27" t="s">
        <v>502</v>
      </c>
      <c r="F194" s="1" t="s">
        <v>37</v>
      </c>
      <c r="G194" s="1" t="s">
        <v>37</v>
      </c>
      <c r="H194" s="1" t="s">
        <v>37</v>
      </c>
      <c r="I194" s="1" t="s">
        <v>37</v>
      </c>
      <c r="J194" s="1" t="s">
        <v>37</v>
      </c>
      <c r="K194" s="1" t="s">
        <v>37</v>
      </c>
      <c r="L194" s="6"/>
    </row>
    <row r="195" spans="1:12" ht="15" x14ac:dyDescent="0.25">
      <c r="A195" s="1" t="s">
        <v>503</v>
      </c>
      <c r="B195" s="1" t="s">
        <v>465</v>
      </c>
      <c r="D195" s="27" t="s">
        <v>504</v>
      </c>
      <c r="F195" s="1" t="s">
        <v>37</v>
      </c>
      <c r="G195" s="1" t="s">
        <v>37</v>
      </c>
      <c r="H195" s="1" t="s">
        <v>37</v>
      </c>
      <c r="I195" s="1" t="s">
        <v>37</v>
      </c>
      <c r="J195" s="1" t="s">
        <v>37</v>
      </c>
      <c r="K195" s="1" t="s">
        <v>37</v>
      </c>
      <c r="L195" s="6"/>
    </row>
    <row r="196" spans="1:12" x14ac:dyDescent="0.2">
      <c r="A196" s="1" t="s">
        <v>505</v>
      </c>
      <c r="B196" s="1" t="s">
        <v>465</v>
      </c>
      <c r="D196" s="6"/>
      <c r="F196" s="1" t="s">
        <v>66</v>
      </c>
      <c r="G196" s="1" t="s">
        <v>66</v>
      </c>
      <c r="H196" s="1" t="s">
        <v>66</v>
      </c>
      <c r="I196" s="1" t="s">
        <v>66</v>
      </c>
      <c r="J196" s="1" t="s">
        <v>66</v>
      </c>
      <c r="K196" s="1" t="s">
        <v>66</v>
      </c>
      <c r="L196" s="2" t="s">
        <v>506</v>
      </c>
    </row>
    <row r="197" spans="1:12" ht="15" x14ac:dyDescent="0.25">
      <c r="A197" s="1" t="s">
        <v>507</v>
      </c>
      <c r="B197" s="1" t="s">
        <v>465</v>
      </c>
      <c r="D197" s="27" t="s">
        <v>508</v>
      </c>
      <c r="F197" s="1" t="s">
        <v>37</v>
      </c>
      <c r="G197" s="1" t="s">
        <v>37</v>
      </c>
      <c r="H197" s="1" t="s">
        <v>37</v>
      </c>
      <c r="I197" s="1" t="s">
        <v>37</v>
      </c>
      <c r="J197" s="1" t="s">
        <v>37</v>
      </c>
      <c r="K197" s="1" t="s">
        <v>37</v>
      </c>
      <c r="L197" s="2" t="s">
        <v>509</v>
      </c>
    </row>
    <row r="198" spans="1:12" ht="15" x14ac:dyDescent="0.25">
      <c r="A198" s="1" t="s">
        <v>510</v>
      </c>
      <c r="B198" s="1" t="s">
        <v>465</v>
      </c>
      <c r="D198" s="27" t="s">
        <v>511</v>
      </c>
      <c r="F198" s="1" t="s">
        <v>37</v>
      </c>
      <c r="G198" s="1" t="s">
        <v>37</v>
      </c>
      <c r="H198" s="1" t="s">
        <v>37</v>
      </c>
      <c r="I198" s="1" t="s">
        <v>37</v>
      </c>
      <c r="J198" s="1" t="s">
        <v>37</v>
      </c>
      <c r="K198" s="1" t="s">
        <v>37</v>
      </c>
      <c r="L198" s="2" t="s">
        <v>512</v>
      </c>
    </row>
    <row r="199" spans="1:12" ht="15" x14ac:dyDescent="0.25">
      <c r="A199" s="1" t="s">
        <v>513</v>
      </c>
      <c r="B199" s="1" t="s">
        <v>514</v>
      </c>
      <c r="D199" s="27" t="s">
        <v>515</v>
      </c>
      <c r="F199" s="1" t="s">
        <v>37</v>
      </c>
      <c r="G199" s="1" t="s">
        <v>37</v>
      </c>
      <c r="H199" s="1" t="s">
        <v>37</v>
      </c>
      <c r="I199" s="1" t="s">
        <v>37</v>
      </c>
      <c r="J199" s="1" t="s">
        <v>37</v>
      </c>
      <c r="K199" s="1" t="s">
        <v>37</v>
      </c>
      <c r="L199" s="2" t="s">
        <v>516</v>
      </c>
    </row>
    <row r="200" spans="1:12" ht="15" x14ac:dyDescent="0.25">
      <c r="A200" s="1" t="s">
        <v>517</v>
      </c>
      <c r="B200" s="1" t="s">
        <v>514</v>
      </c>
      <c r="D200" s="27" t="s">
        <v>518</v>
      </c>
      <c r="F200" s="1" t="s">
        <v>37</v>
      </c>
      <c r="G200" s="1" t="s">
        <v>37</v>
      </c>
      <c r="H200" s="1" t="s">
        <v>37</v>
      </c>
      <c r="I200" s="1" t="s">
        <v>37</v>
      </c>
      <c r="J200" s="1" t="s">
        <v>37</v>
      </c>
      <c r="K200" s="1" t="s">
        <v>37</v>
      </c>
      <c r="L200" s="2" t="s">
        <v>519</v>
      </c>
    </row>
    <row r="201" spans="1:12" ht="15" x14ac:dyDescent="0.25">
      <c r="A201" s="1" t="s">
        <v>520</v>
      </c>
      <c r="B201" s="1" t="s">
        <v>514</v>
      </c>
      <c r="D201" s="27" t="s">
        <v>521</v>
      </c>
      <c r="F201" s="1" t="s">
        <v>37</v>
      </c>
      <c r="G201" s="1" t="s">
        <v>37</v>
      </c>
      <c r="H201" s="1" t="s">
        <v>66</v>
      </c>
      <c r="I201" s="1" t="s">
        <v>37</v>
      </c>
      <c r="J201" s="1" t="s">
        <v>66</v>
      </c>
      <c r="K201" s="1" t="s">
        <v>37</v>
      </c>
      <c r="L201" s="2" t="s">
        <v>522</v>
      </c>
    </row>
    <row r="202" spans="1:12" x14ac:dyDescent="0.2">
      <c r="A202" s="1" t="s">
        <v>523</v>
      </c>
      <c r="B202" s="1" t="s">
        <v>514</v>
      </c>
      <c r="D202" s="6"/>
      <c r="F202" s="1" t="s">
        <v>37</v>
      </c>
      <c r="G202" s="1" t="s">
        <v>37</v>
      </c>
      <c r="H202" s="1" t="s">
        <v>66</v>
      </c>
      <c r="I202" s="1" t="s">
        <v>37</v>
      </c>
      <c r="J202" s="1" t="s">
        <v>37</v>
      </c>
      <c r="K202" s="1" t="s">
        <v>37</v>
      </c>
      <c r="L202" s="6"/>
    </row>
    <row r="203" spans="1:12" ht="15" x14ac:dyDescent="0.25">
      <c r="A203" s="1" t="s">
        <v>524</v>
      </c>
      <c r="B203" s="1" t="s">
        <v>514</v>
      </c>
      <c r="D203" s="27" t="s">
        <v>525</v>
      </c>
      <c r="F203" s="1" t="s">
        <v>37</v>
      </c>
      <c r="G203" s="1" t="s">
        <v>66</v>
      </c>
      <c r="H203" s="1" t="s">
        <v>37</v>
      </c>
      <c r="I203" s="1" t="s">
        <v>37</v>
      </c>
      <c r="J203" s="1" t="s">
        <v>37</v>
      </c>
      <c r="K203" s="1" t="s">
        <v>37</v>
      </c>
      <c r="L203" s="2" t="s">
        <v>526</v>
      </c>
    </row>
    <row r="204" spans="1:12" x14ac:dyDescent="0.2">
      <c r="A204" s="1" t="s">
        <v>527</v>
      </c>
      <c r="B204" s="1" t="s">
        <v>514</v>
      </c>
      <c r="D204" s="6"/>
      <c r="F204" s="1" t="s">
        <v>37</v>
      </c>
      <c r="G204" s="1" t="s">
        <v>37</v>
      </c>
      <c r="H204" s="1" t="s">
        <v>37</v>
      </c>
      <c r="I204" s="1" t="s">
        <v>37</v>
      </c>
      <c r="J204" s="1" t="s">
        <v>37</v>
      </c>
      <c r="K204" s="1" t="s">
        <v>37</v>
      </c>
      <c r="L204" s="2" t="s">
        <v>528</v>
      </c>
    </row>
    <row r="205" spans="1:12" x14ac:dyDescent="0.2">
      <c r="A205" s="1" t="s">
        <v>529</v>
      </c>
      <c r="B205" s="1" t="s">
        <v>514</v>
      </c>
      <c r="D205" s="6"/>
      <c r="F205" s="1" t="s">
        <v>37</v>
      </c>
      <c r="G205" s="1" t="s">
        <v>37</v>
      </c>
      <c r="H205" s="1" t="s">
        <v>37</v>
      </c>
      <c r="I205" s="1" t="s">
        <v>37</v>
      </c>
      <c r="J205" s="1" t="s">
        <v>37</v>
      </c>
      <c r="K205" s="1" t="s">
        <v>37</v>
      </c>
      <c r="L205" s="2" t="s">
        <v>530</v>
      </c>
    </row>
    <row r="206" spans="1:12" x14ac:dyDescent="0.2">
      <c r="A206" s="1" t="s">
        <v>531</v>
      </c>
      <c r="B206" s="1" t="s">
        <v>514</v>
      </c>
      <c r="D206" s="6"/>
      <c r="F206" s="1" t="s">
        <v>37</v>
      </c>
      <c r="G206" s="1" t="s">
        <v>37</v>
      </c>
      <c r="H206" s="1" t="s">
        <v>66</v>
      </c>
      <c r="I206" s="1" t="s">
        <v>37</v>
      </c>
      <c r="J206" s="1" t="s">
        <v>37</v>
      </c>
      <c r="K206" s="1" t="s">
        <v>37</v>
      </c>
      <c r="L206" s="2" t="s">
        <v>532</v>
      </c>
    </row>
    <row r="207" spans="1:12" ht="15" x14ac:dyDescent="0.25">
      <c r="A207" s="1" t="s">
        <v>533</v>
      </c>
      <c r="B207" s="1" t="s">
        <v>514</v>
      </c>
      <c r="D207" s="27" t="s">
        <v>534</v>
      </c>
      <c r="F207" s="1" t="s">
        <v>37</v>
      </c>
      <c r="G207" s="1" t="s">
        <v>66</v>
      </c>
      <c r="H207" s="1" t="s">
        <v>37</v>
      </c>
      <c r="I207" s="1" t="s">
        <v>37</v>
      </c>
      <c r="J207" s="1" t="s">
        <v>37</v>
      </c>
      <c r="K207" s="1" t="s">
        <v>37</v>
      </c>
      <c r="L207" s="2" t="s">
        <v>535</v>
      </c>
    </row>
    <row r="208" spans="1:12" x14ac:dyDescent="0.2">
      <c r="A208" s="1" t="s">
        <v>536</v>
      </c>
      <c r="B208" s="1" t="s">
        <v>514</v>
      </c>
      <c r="D208" s="6"/>
      <c r="F208" s="1" t="s">
        <v>66</v>
      </c>
      <c r="G208" s="1" t="s">
        <v>66</v>
      </c>
      <c r="H208" s="1" t="s">
        <v>66</v>
      </c>
      <c r="I208" s="1" t="s">
        <v>37</v>
      </c>
      <c r="J208" s="1" t="s">
        <v>37</v>
      </c>
      <c r="K208" s="1" t="s">
        <v>66</v>
      </c>
      <c r="L208" s="6"/>
    </row>
    <row r="209" spans="1:12" ht="15" x14ac:dyDescent="0.25">
      <c r="A209" s="1" t="s">
        <v>537</v>
      </c>
      <c r="B209" s="1" t="s">
        <v>514</v>
      </c>
      <c r="D209" s="27" t="s">
        <v>538</v>
      </c>
      <c r="F209" s="1" t="s">
        <v>37</v>
      </c>
      <c r="G209" s="1" t="s">
        <v>37</v>
      </c>
      <c r="H209" s="1" t="s">
        <v>37</v>
      </c>
      <c r="I209" s="1" t="s">
        <v>37</v>
      </c>
      <c r="J209" s="1" t="s">
        <v>37</v>
      </c>
      <c r="K209" s="1" t="s">
        <v>37</v>
      </c>
      <c r="L209" s="2" t="s">
        <v>539</v>
      </c>
    </row>
    <row r="210" spans="1:12" ht="15" x14ac:dyDescent="0.25">
      <c r="A210" s="1" t="s">
        <v>540</v>
      </c>
      <c r="B210" s="1" t="s">
        <v>514</v>
      </c>
      <c r="D210" s="27" t="s">
        <v>541</v>
      </c>
      <c r="F210" s="1" t="s">
        <v>37</v>
      </c>
      <c r="G210" s="1" t="s">
        <v>37</v>
      </c>
      <c r="H210" s="1" t="s">
        <v>37</v>
      </c>
      <c r="I210" s="1" t="s">
        <v>37</v>
      </c>
      <c r="J210" s="1" t="s">
        <v>37</v>
      </c>
      <c r="K210" s="1" t="s">
        <v>37</v>
      </c>
      <c r="L210" s="2" t="s">
        <v>542</v>
      </c>
    </row>
    <row r="211" spans="1:12" x14ac:dyDescent="0.2">
      <c r="A211" s="1" t="s">
        <v>543</v>
      </c>
      <c r="B211" s="1" t="s">
        <v>514</v>
      </c>
      <c r="D211" s="6"/>
      <c r="F211" s="1" t="s">
        <v>37</v>
      </c>
      <c r="G211" s="1" t="s">
        <v>37</v>
      </c>
      <c r="H211" s="1" t="s">
        <v>37</v>
      </c>
      <c r="I211" s="1" t="s">
        <v>37</v>
      </c>
      <c r="J211" s="1" t="s">
        <v>37</v>
      </c>
      <c r="K211" s="1" t="s">
        <v>37</v>
      </c>
      <c r="L211" s="6"/>
    </row>
    <row r="212" spans="1:12" ht="15" x14ac:dyDescent="0.25">
      <c r="A212" s="1" t="s">
        <v>544</v>
      </c>
      <c r="B212" s="1" t="s">
        <v>514</v>
      </c>
      <c r="D212" s="27" t="s">
        <v>545</v>
      </c>
      <c r="F212" s="1" t="s">
        <v>37</v>
      </c>
      <c r="G212" s="1" t="s">
        <v>37</v>
      </c>
      <c r="H212" s="1" t="s">
        <v>37</v>
      </c>
      <c r="I212" s="1" t="s">
        <v>37</v>
      </c>
      <c r="J212" s="1" t="s">
        <v>66</v>
      </c>
      <c r="K212" s="1" t="s">
        <v>37</v>
      </c>
      <c r="L212" s="2" t="s">
        <v>546</v>
      </c>
    </row>
    <row r="213" spans="1:12" x14ac:dyDescent="0.2">
      <c r="A213" s="1" t="s">
        <v>549</v>
      </c>
      <c r="B213" s="1" t="s">
        <v>514</v>
      </c>
      <c r="D213" s="6"/>
      <c r="F213" s="1" t="s">
        <v>37</v>
      </c>
      <c r="G213" s="1" t="s">
        <v>66</v>
      </c>
      <c r="H213" s="1" t="s">
        <v>37</v>
      </c>
      <c r="I213" s="1" t="s">
        <v>37</v>
      </c>
      <c r="J213" s="1" t="s">
        <v>37</v>
      </c>
      <c r="K213" s="1" t="s">
        <v>37</v>
      </c>
      <c r="L213" s="2" t="s">
        <v>547</v>
      </c>
    </row>
    <row r="214" spans="1:12" x14ac:dyDescent="0.2">
      <c r="A214" s="1" t="s">
        <v>548</v>
      </c>
      <c r="B214" s="1" t="s">
        <v>514</v>
      </c>
      <c r="D214" s="6"/>
      <c r="F214" s="1" t="s">
        <v>37</v>
      </c>
      <c r="G214" s="1" t="s">
        <v>37</v>
      </c>
      <c r="H214" s="1" t="s">
        <v>37</v>
      </c>
      <c r="I214" s="1" t="s">
        <v>37</v>
      </c>
      <c r="J214" s="1" t="s">
        <v>66</v>
      </c>
      <c r="K214" s="1" t="s">
        <v>37</v>
      </c>
      <c r="L214" s="2" t="s">
        <v>550</v>
      </c>
    </row>
    <row r="215" spans="1:12" x14ac:dyDescent="0.2">
      <c r="A215" s="1" t="s">
        <v>551</v>
      </c>
      <c r="B215" s="1" t="s">
        <v>514</v>
      </c>
      <c r="D215" s="6" t="s">
        <v>294</v>
      </c>
      <c r="F215" s="1" t="s">
        <v>37</v>
      </c>
      <c r="G215" s="1" t="s">
        <v>37</v>
      </c>
      <c r="H215" s="1" t="s">
        <v>37</v>
      </c>
      <c r="I215" s="1" t="s">
        <v>37</v>
      </c>
      <c r="J215" s="1" t="s">
        <v>37</v>
      </c>
      <c r="K215" s="1" t="s">
        <v>37</v>
      </c>
      <c r="L215" s="2" t="s">
        <v>552</v>
      </c>
    </row>
    <row r="216" spans="1:12" x14ac:dyDescent="0.2">
      <c r="A216" s="1" t="s">
        <v>553</v>
      </c>
      <c r="B216" s="1" t="s">
        <v>514</v>
      </c>
      <c r="D216" s="6"/>
      <c r="F216" s="1" t="s">
        <v>37</v>
      </c>
      <c r="G216" s="1" t="s">
        <v>37</v>
      </c>
      <c r="H216" s="1" t="s">
        <v>37</v>
      </c>
      <c r="I216" s="1" t="s">
        <v>37</v>
      </c>
      <c r="J216" s="1" t="s">
        <v>37</v>
      </c>
      <c r="K216" s="1" t="s">
        <v>37</v>
      </c>
      <c r="L216" s="2" t="s">
        <v>554</v>
      </c>
    </row>
    <row r="217" spans="1:12" ht="15" x14ac:dyDescent="0.25">
      <c r="A217" s="1" t="s">
        <v>555</v>
      </c>
      <c r="B217" s="1" t="s">
        <v>514</v>
      </c>
      <c r="D217" s="27" t="s">
        <v>556</v>
      </c>
      <c r="F217" s="1" t="s">
        <v>37</v>
      </c>
      <c r="G217" s="1" t="s">
        <v>37</v>
      </c>
      <c r="H217" s="1" t="s">
        <v>37</v>
      </c>
      <c r="I217" s="1" t="s">
        <v>37</v>
      </c>
      <c r="J217" s="1" t="s">
        <v>37</v>
      </c>
      <c r="K217" s="1" t="s">
        <v>37</v>
      </c>
      <c r="L217" s="2" t="s">
        <v>404</v>
      </c>
    </row>
    <row r="218" spans="1:12" x14ac:dyDescent="0.2">
      <c r="A218" s="1" t="s">
        <v>557</v>
      </c>
      <c r="B218" s="1" t="s">
        <v>514</v>
      </c>
      <c r="D218" s="6"/>
      <c r="F218" s="1" t="s">
        <v>37</v>
      </c>
      <c r="G218" s="1" t="s">
        <v>37</v>
      </c>
      <c r="H218" s="1" t="s">
        <v>37</v>
      </c>
      <c r="I218" s="1" t="s">
        <v>37</v>
      </c>
      <c r="J218" s="1" t="s">
        <v>37</v>
      </c>
      <c r="K218" s="1" t="s">
        <v>37</v>
      </c>
      <c r="L218" s="2" t="s">
        <v>558</v>
      </c>
    </row>
    <row r="219" spans="1:12" x14ac:dyDescent="0.2">
      <c r="A219" s="1" t="s">
        <v>559</v>
      </c>
      <c r="B219" s="1" t="s">
        <v>514</v>
      </c>
      <c r="D219" s="6"/>
      <c r="F219" s="1" t="s">
        <v>37</v>
      </c>
      <c r="G219" s="1" t="s">
        <v>37</v>
      </c>
      <c r="H219" s="1" t="s">
        <v>37</v>
      </c>
      <c r="I219" s="1" t="s">
        <v>37</v>
      </c>
      <c r="J219" s="1" t="s">
        <v>37</v>
      </c>
      <c r="K219" s="1" t="s">
        <v>37</v>
      </c>
      <c r="L219" s="2" t="s">
        <v>560</v>
      </c>
    </row>
    <row r="220" spans="1:12" x14ac:dyDescent="0.2">
      <c r="A220" s="1" t="s">
        <v>561</v>
      </c>
      <c r="B220" s="1" t="s">
        <v>514</v>
      </c>
      <c r="D220" s="6"/>
      <c r="F220" s="1" t="s">
        <v>37</v>
      </c>
      <c r="G220" s="1" t="s">
        <v>66</v>
      </c>
      <c r="H220" s="1" t="s">
        <v>66</v>
      </c>
      <c r="I220" s="1" t="s">
        <v>37</v>
      </c>
      <c r="J220" s="1" t="s">
        <v>37</v>
      </c>
      <c r="K220" s="1" t="s">
        <v>37</v>
      </c>
      <c r="L220" s="2" t="s">
        <v>562</v>
      </c>
    </row>
    <row r="221" spans="1:12" x14ac:dyDescent="0.2">
      <c r="A221" s="1" t="s">
        <v>563</v>
      </c>
      <c r="B221" s="1" t="s">
        <v>514</v>
      </c>
      <c r="D221" s="6"/>
      <c r="F221" s="1" t="s">
        <v>37</v>
      </c>
      <c r="G221" s="1" t="s">
        <v>66</v>
      </c>
      <c r="H221" s="1" t="s">
        <v>37</v>
      </c>
      <c r="I221" s="1" t="s">
        <v>37</v>
      </c>
      <c r="J221" s="1" t="s">
        <v>37</v>
      </c>
      <c r="K221" s="1" t="s">
        <v>37</v>
      </c>
      <c r="L221" s="2" t="s">
        <v>564</v>
      </c>
    </row>
    <row r="222" spans="1:12" ht="15" x14ac:dyDescent="0.25">
      <c r="A222" s="1" t="s">
        <v>565</v>
      </c>
      <c r="B222" s="1" t="s">
        <v>514</v>
      </c>
      <c r="D222" s="27" t="s">
        <v>566</v>
      </c>
      <c r="F222" s="1" t="s">
        <v>37</v>
      </c>
      <c r="G222" s="1" t="s">
        <v>37</v>
      </c>
      <c r="H222" s="1" t="s">
        <v>37</v>
      </c>
      <c r="I222" s="1" t="s">
        <v>37</v>
      </c>
      <c r="J222" s="1" t="s">
        <v>37</v>
      </c>
      <c r="K222" s="1" t="s">
        <v>37</v>
      </c>
      <c r="L222" s="2" t="s">
        <v>567</v>
      </c>
    </row>
    <row r="223" spans="1:12" ht="15" x14ac:dyDescent="0.25">
      <c r="A223" s="1" t="s">
        <v>568</v>
      </c>
      <c r="B223" s="1" t="s">
        <v>514</v>
      </c>
      <c r="D223" s="27" t="s">
        <v>569</v>
      </c>
      <c r="F223" s="1" t="s">
        <v>37</v>
      </c>
      <c r="G223" s="1" t="s">
        <v>37</v>
      </c>
      <c r="H223" s="1" t="s">
        <v>37</v>
      </c>
      <c r="I223" s="1" t="s">
        <v>37</v>
      </c>
      <c r="J223" s="1" t="s">
        <v>37</v>
      </c>
      <c r="K223" s="1" t="s">
        <v>37</v>
      </c>
      <c r="L223" s="2" t="s">
        <v>570</v>
      </c>
    </row>
    <row r="224" spans="1:12" ht="15" x14ac:dyDescent="0.25">
      <c r="A224" s="1" t="s">
        <v>571</v>
      </c>
      <c r="B224" s="1" t="s">
        <v>514</v>
      </c>
      <c r="D224" s="27" t="s">
        <v>572</v>
      </c>
      <c r="F224" s="1" t="s">
        <v>37</v>
      </c>
      <c r="G224" s="1" t="s">
        <v>37</v>
      </c>
      <c r="H224" s="1" t="s">
        <v>37</v>
      </c>
      <c r="I224" s="1" t="s">
        <v>37</v>
      </c>
      <c r="J224" s="1" t="s">
        <v>37</v>
      </c>
      <c r="K224" s="1" t="s">
        <v>37</v>
      </c>
      <c r="L224" s="6"/>
    </row>
    <row r="225" spans="1:12" x14ac:dyDescent="0.2">
      <c r="A225" s="1" t="s">
        <v>573</v>
      </c>
      <c r="B225" s="1" t="s">
        <v>514</v>
      </c>
      <c r="D225" s="6"/>
      <c r="F225" s="1" t="s">
        <v>37</v>
      </c>
      <c r="G225" s="1" t="s">
        <v>37</v>
      </c>
      <c r="H225" s="1" t="s">
        <v>37</v>
      </c>
      <c r="I225" s="1" t="s">
        <v>37</v>
      </c>
      <c r="J225" s="1" t="s">
        <v>37</v>
      </c>
      <c r="K225" s="1" t="s">
        <v>37</v>
      </c>
      <c r="L225" s="2" t="s">
        <v>574</v>
      </c>
    </row>
    <row r="226" spans="1:12" ht="15" x14ac:dyDescent="0.25">
      <c r="A226" s="1" t="s">
        <v>575</v>
      </c>
      <c r="B226" s="1" t="s">
        <v>514</v>
      </c>
      <c r="D226" s="27" t="s">
        <v>576</v>
      </c>
      <c r="F226" s="1" t="s">
        <v>37</v>
      </c>
      <c r="G226" s="1" t="s">
        <v>37</v>
      </c>
      <c r="H226" s="1" t="s">
        <v>37</v>
      </c>
      <c r="I226" s="1" t="s">
        <v>37</v>
      </c>
      <c r="J226" s="1" t="s">
        <v>37</v>
      </c>
      <c r="K226" s="1" t="s">
        <v>37</v>
      </c>
      <c r="L226" s="2" t="s">
        <v>577</v>
      </c>
    </row>
    <row r="227" spans="1:12" ht="15" x14ac:dyDescent="0.25">
      <c r="A227" s="1" t="s">
        <v>580</v>
      </c>
      <c r="B227" s="1" t="s">
        <v>514</v>
      </c>
      <c r="D227" s="27" t="s">
        <v>578</v>
      </c>
      <c r="F227" s="1" t="s">
        <v>37</v>
      </c>
      <c r="G227" s="1" t="s">
        <v>37</v>
      </c>
      <c r="H227" s="1" t="s">
        <v>37</v>
      </c>
      <c r="I227" s="1" t="s">
        <v>37</v>
      </c>
      <c r="J227" s="1" t="s">
        <v>37</v>
      </c>
      <c r="K227" s="1" t="s">
        <v>37</v>
      </c>
      <c r="L227" s="2" t="s">
        <v>579</v>
      </c>
    </row>
    <row r="228" spans="1:12" x14ac:dyDescent="0.2">
      <c r="A228" s="1" t="s">
        <v>581</v>
      </c>
      <c r="B228" s="1" t="s">
        <v>514</v>
      </c>
      <c r="D228" s="6"/>
      <c r="F228" s="1" t="s">
        <v>37</v>
      </c>
      <c r="G228" s="1" t="s">
        <v>37</v>
      </c>
      <c r="H228" s="1" t="s">
        <v>37</v>
      </c>
      <c r="I228" s="1" t="s">
        <v>37</v>
      </c>
      <c r="J228" s="1" t="s">
        <v>37</v>
      </c>
      <c r="K228" s="1" t="s">
        <v>37</v>
      </c>
      <c r="L228" s="2" t="s">
        <v>582</v>
      </c>
    </row>
    <row r="229" spans="1:12" x14ac:dyDescent="0.2">
      <c r="A229" s="1" t="s">
        <v>583</v>
      </c>
      <c r="B229" s="1" t="s">
        <v>514</v>
      </c>
      <c r="D229" s="6"/>
      <c r="F229" s="1" t="s">
        <v>37</v>
      </c>
      <c r="G229" s="1" t="s">
        <v>37</v>
      </c>
      <c r="H229" s="1" t="s">
        <v>37</v>
      </c>
      <c r="I229" s="1" t="s">
        <v>37</v>
      </c>
      <c r="J229" s="1" t="s">
        <v>37</v>
      </c>
      <c r="K229" s="1" t="s">
        <v>37</v>
      </c>
      <c r="L229" s="2" t="s">
        <v>584</v>
      </c>
    </row>
    <row r="230" spans="1:12" x14ac:dyDescent="0.2">
      <c r="A230" s="1" t="s">
        <v>585</v>
      </c>
      <c r="B230" s="1" t="s">
        <v>514</v>
      </c>
      <c r="D230" s="6"/>
      <c r="F230" s="1" t="s">
        <v>37</v>
      </c>
      <c r="G230" s="1" t="s">
        <v>37</v>
      </c>
      <c r="H230" s="1" t="s">
        <v>37</v>
      </c>
      <c r="I230" s="1" t="s">
        <v>37</v>
      </c>
      <c r="J230" s="1" t="s">
        <v>37</v>
      </c>
      <c r="K230" s="1" t="s">
        <v>37</v>
      </c>
      <c r="L230" s="2" t="s">
        <v>586</v>
      </c>
    </row>
    <row r="231" spans="1:12" ht="15" x14ac:dyDescent="0.25">
      <c r="A231" s="1" t="s">
        <v>587</v>
      </c>
      <c r="B231" s="1" t="s">
        <v>514</v>
      </c>
      <c r="D231" s="27" t="s">
        <v>588</v>
      </c>
      <c r="F231" s="1" t="s">
        <v>37</v>
      </c>
      <c r="G231" s="1" t="s">
        <v>37</v>
      </c>
      <c r="H231" s="1" t="s">
        <v>37</v>
      </c>
      <c r="I231" s="1" t="s">
        <v>37</v>
      </c>
      <c r="J231" s="1" t="s">
        <v>37</v>
      </c>
      <c r="K231" s="1" t="s">
        <v>37</v>
      </c>
      <c r="L231" s="2" t="s">
        <v>589</v>
      </c>
    </row>
    <row r="232" spans="1:12" x14ac:dyDescent="0.2">
      <c r="A232" s="1" t="s">
        <v>590</v>
      </c>
      <c r="B232" s="1" t="s">
        <v>514</v>
      </c>
      <c r="D232" s="6"/>
      <c r="F232" s="1" t="s">
        <v>37</v>
      </c>
      <c r="G232" s="1" t="s">
        <v>37</v>
      </c>
      <c r="H232" s="1" t="s">
        <v>37</v>
      </c>
      <c r="I232" s="1" t="s">
        <v>37</v>
      </c>
      <c r="J232" s="1" t="s">
        <v>37</v>
      </c>
      <c r="K232" s="1" t="s">
        <v>37</v>
      </c>
      <c r="L232" s="2" t="s">
        <v>591</v>
      </c>
    </row>
    <row r="233" spans="1:12" ht="15" x14ac:dyDescent="0.25">
      <c r="A233" s="1" t="s">
        <v>592</v>
      </c>
      <c r="B233" s="1" t="s">
        <v>514</v>
      </c>
      <c r="D233" s="27" t="s">
        <v>593</v>
      </c>
      <c r="F233" s="1" t="s">
        <v>37</v>
      </c>
      <c r="G233" s="1" t="s">
        <v>37</v>
      </c>
      <c r="H233" s="1" t="s">
        <v>37</v>
      </c>
      <c r="I233" s="1" t="s">
        <v>37</v>
      </c>
      <c r="J233" s="1" t="s">
        <v>37</v>
      </c>
      <c r="K233" s="1" t="s">
        <v>37</v>
      </c>
      <c r="L233" s="2" t="s">
        <v>594</v>
      </c>
    </row>
    <row r="234" spans="1:12" ht="15" x14ac:dyDescent="0.25">
      <c r="A234" s="1" t="s">
        <v>595</v>
      </c>
      <c r="B234" s="1" t="s">
        <v>514</v>
      </c>
      <c r="D234" s="27" t="s">
        <v>596</v>
      </c>
      <c r="F234" s="1" t="s">
        <v>37</v>
      </c>
      <c r="G234" s="1" t="s">
        <v>37</v>
      </c>
      <c r="H234" s="1" t="s">
        <v>37</v>
      </c>
      <c r="I234" s="1" t="s">
        <v>37</v>
      </c>
      <c r="J234" s="1" t="s">
        <v>37</v>
      </c>
      <c r="K234" s="1" t="s">
        <v>37</v>
      </c>
      <c r="L234" s="2" t="s">
        <v>597</v>
      </c>
    </row>
    <row r="235" spans="1:12" ht="15" x14ac:dyDescent="0.25">
      <c r="A235" s="1" t="s">
        <v>598</v>
      </c>
      <c r="B235" s="1" t="s">
        <v>514</v>
      </c>
      <c r="D235" s="27" t="s">
        <v>599</v>
      </c>
      <c r="F235" s="1" t="s">
        <v>37</v>
      </c>
      <c r="G235" s="1" t="s">
        <v>37</v>
      </c>
      <c r="H235" s="1" t="s">
        <v>37</v>
      </c>
      <c r="I235" s="1" t="s">
        <v>37</v>
      </c>
      <c r="J235" s="1" t="s">
        <v>37</v>
      </c>
      <c r="K235" s="1" t="s">
        <v>37</v>
      </c>
      <c r="L235" s="2" t="s">
        <v>600</v>
      </c>
    </row>
    <row r="236" spans="1:12" ht="15" x14ac:dyDescent="0.25">
      <c r="A236" s="1" t="s">
        <v>601</v>
      </c>
      <c r="B236" s="1" t="s">
        <v>514</v>
      </c>
      <c r="D236" s="27" t="s">
        <v>602</v>
      </c>
      <c r="F236" s="1" t="s">
        <v>37</v>
      </c>
      <c r="G236" s="1" t="s">
        <v>37</v>
      </c>
      <c r="H236" s="1" t="s">
        <v>37</v>
      </c>
      <c r="I236" s="1" t="s">
        <v>37</v>
      </c>
      <c r="J236" s="1" t="s">
        <v>37</v>
      </c>
      <c r="K236" s="1" t="s">
        <v>37</v>
      </c>
      <c r="L236" s="2" t="s">
        <v>603</v>
      </c>
    </row>
    <row r="237" spans="1:12" ht="15" x14ac:dyDescent="0.25">
      <c r="A237" s="1" t="s">
        <v>604</v>
      </c>
      <c r="B237" s="1" t="s">
        <v>514</v>
      </c>
      <c r="D237" s="27" t="s">
        <v>605</v>
      </c>
      <c r="F237" s="1" t="s">
        <v>37</v>
      </c>
      <c r="G237" s="1" t="s">
        <v>37</v>
      </c>
      <c r="H237" s="1" t="s">
        <v>37</v>
      </c>
      <c r="I237" s="1" t="s">
        <v>37</v>
      </c>
      <c r="J237" s="1" t="s">
        <v>37</v>
      </c>
      <c r="K237" s="1" t="s">
        <v>37</v>
      </c>
      <c r="L237" s="2" t="s">
        <v>606</v>
      </c>
    </row>
    <row r="238" spans="1:12" x14ac:dyDescent="0.2">
      <c r="A238" s="1" t="s">
        <v>607</v>
      </c>
      <c r="B238" s="1" t="s">
        <v>514</v>
      </c>
      <c r="D238" s="6"/>
      <c r="F238" s="1" t="s">
        <v>37</v>
      </c>
      <c r="G238" s="1" t="s">
        <v>37</v>
      </c>
      <c r="H238" s="1" t="s">
        <v>37</v>
      </c>
      <c r="I238" s="1" t="s">
        <v>37</v>
      </c>
      <c r="J238" s="1" t="s">
        <v>37</v>
      </c>
      <c r="K238" s="1" t="s">
        <v>37</v>
      </c>
      <c r="L238" s="2" t="s">
        <v>608</v>
      </c>
    </row>
    <row r="239" spans="1:12" x14ac:dyDescent="0.2">
      <c r="A239" s="1" t="s">
        <v>609</v>
      </c>
      <c r="B239" s="1" t="s">
        <v>514</v>
      </c>
      <c r="D239" s="6"/>
      <c r="F239" s="1" t="s">
        <v>37</v>
      </c>
      <c r="G239" s="1" t="s">
        <v>37</v>
      </c>
      <c r="H239" s="1" t="s">
        <v>37</v>
      </c>
      <c r="I239" s="1" t="s">
        <v>37</v>
      </c>
      <c r="J239" s="1" t="s">
        <v>37</v>
      </c>
      <c r="K239" s="1" t="s">
        <v>37</v>
      </c>
      <c r="L239" s="6"/>
    </row>
    <row r="240" spans="1:12" ht="15" x14ac:dyDescent="0.25">
      <c r="A240" s="1" t="s">
        <v>610</v>
      </c>
      <c r="B240" s="1" t="s">
        <v>514</v>
      </c>
      <c r="D240" s="27" t="s">
        <v>611</v>
      </c>
      <c r="F240" s="1" t="s">
        <v>37</v>
      </c>
      <c r="G240" s="1" t="s">
        <v>37</v>
      </c>
      <c r="H240" s="1" t="s">
        <v>37</v>
      </c>
      <c r="I240" s="1" t="s">
        <v>37</v>
      </c>
      <c r="J240" s="1" t="s">
        <v>37</v>
      </c>
      <c r="K240" s="1" t="s">
        <v>37</v>
      </c>
      <c r="L240" s="2" t="s">
        <v>612</v>
      </c>
    </row>
    <row r="241" spans="1:12" ht="15" x14ac:dyDescent="0.25">
      <c r="A241" s="1" t="s">
        <v>613</v>
      </c>
      <c r="B241" s="1" t="s">
        <v>514</v>
      </c>
      <c r="D241" s="27" t="s">
        <v>614</v>
      </c>
      <c r="F241" s="1" t="s">
        <v>37</v>
      </c>
      <c r="G241" s="1" t="s">
        <v>37</v>
      </c>
      <c r="H241" s="1" t="s">
        <v>37</v>
      </c>
      <c r="I241" s="1" t="s">
        <v>37</v>
      </c>
      <c r="J241" s="1" t="s">
        <v>37</v>
      </c>
      <c r="K241" s="1" t="s">
        <v>37</v>
      </c>
      <c r="L241" s="2" t="s">
        <v>615</v>
      </c>
    </row>
    <row r="242" spans="1:12" x14ac:dyDescent="0.2">
      <c r="A242" s="1" t="s">
        <v>616</v>
      </c>
      <c r="B242" s="1" t="s">
        <v>514</v>
      </c>
      <c r="D242" s="6"/>
      <c r="F242" s="1" t="s">
        <v>37</v>
      </c>
      <c r="G242" s="1" t="s">
        <v>37</v>
      </c>
      <c r="H242" s="1" t="s">
        <v>37</v>
      </c>
      <c r="I242" s="1" t="s">
        <v>37</v>
      </c>
      <c r="J242" s="1" t="s">
        <v>37</v>
      </c>
      <c r="K242" s="1" t="s">
        <v>37</v>
      </c>
      <c r="L242" s="2" t="s">
        <v>617</v>
      </c>
    </row>
    <row r="243" spans="1:12" ht="15" x14ac:dyDescent="0.25">
      <c r="A243" s="1" t="s">
        <v>618</v>
      </c>
      <c r="B243" s="1" t="s">
        <v>514</v>
      </c>
      <c r="D243" s="27" t="s">
        <v>619</v>
      </c>
      <c r="F243" s="1" t="s">
        <v>37</v>
      </c>
      <c r="G243" s="1" t="s">
        <v>37</v>
      </c>
      <c r="H243" s="1" t="s">
        <v>37</v>
      </c>
      <c r="I243" s="1" t="s">
        <v>37</v>
      </c>
      <c r="J243" s="1" t="s">
        <v>37</v>
      </c>
      <c r="K243" s="1" t="s">
        <v>37</v>
      </c>
      <c r="L243" s="2" t="s">
        <v>620</v>
      </c>
    </row>
    <row r="244" spans="1:12" ht="15" x14ac:dyDescent="0.25">
      <c r="A244" s="1" t="s">
        <v>621</v>
      </c>
      <c r="B244" s="1" t="s">
        <v>514</v>
      </c>
      <c r="D244" s="27" t="s">
        <v>622</v>
      </c>
      <c r="F244" s="1" t="s">
        <v>37</v>
      </c>
      <c r="G244" s="1" t="s">
        <v>37</v>
      </c>
      <c r="H244" s="1" t="s">
        <v>37</v>
      </c>
      <c r="I244" s="1" t="s">
        <v>37</v>
      </c>
      <c r="J244" s="1" t="s">
        <v>37</v>
      </c>
      <c r="K244" s="1" t="s">
        <v>37</v>
      </c>
      <c r="L244" s="2" t="s">
        <v>623</v>
      </c>
    </row>
    <row r="245" spans="1:12" ht="15" x14ac:dyDescent="0.25">
      <c r="A245" s="1" t="s">
        <v>624</v>
      </c>
      <c r="B245" s="1" t="s">
        <v>514</v>
      </c>
      <c r="D245" s="27" t="s">
        <v>625</v>
      </c>
      <c r="F245" s="1" t="s">
        <v>37</v>
      </c>
      <c r="G245" s="1" t="s">
        <v>37</v>
      </c>
      <c r="H245" s="1" t="s">
        <v>37</v>
      </c>
      <c r="I245" s="1" t="s">
        <v>37</v>
      </c>
      <c r="J245" s="1" t="s">
        <v>37</v>
      </c>
      <c r="K245" s="1" t="s">
        <v>37</v>
      </c>
      <c r="L245" s="2" t="s">
        <v>626</v>
      </c>
    </row>
    <row r="246" spans="1:12" x14ac:dyDescent="0.2">
      <c r="A246" s="1" t="s">
        <v>627</v>
      </c>
      <c r="B246" s="1" t="s">
        <v>514</v>
      </c>
      <c r="D246" s="6"/>
      <c r="F246" s="1" t="s">
        <v>37</v>
      </c>
      <c r="G246" s="1" t="s">
        <v>37</v>
      </c>
      <c r="H246" s="1" t="s">
        <v>37</v>
      </c>
      <c r="I246" s="1" t="s">
        <v>37</v>
      </c>
      <c r="J246" s="1" t="s">
        <v>37</v>
      </c>
      <c r="K246" s="1" t="s">
        <v>37</v>
      </c>
      <c r="L246" s="2" t="s">
        <v>628</v>
      </c>
    </row>
    <row r="247" spans="1:12" ht="15" x14ac:dyDescent="0.25">
      <c r="A247" s="1" t="s">
        <v>629</v>
      </c>
      <c r="B247" s="1" t="s">
        <v>514</v>
      </c>
      <c r="D247" s="27" t="s">
        <v>630</v>
      </c>
      <c r="F247" s="1" t="s">
        <v>37</v>
      </c>
      <c r="G247" s="1" t="s">
        <v>37</v>
      </c>
      <c r="H247" s="1" t="s">
        <v>37</v>
      </c>
      <c r="I247" s="1" t="s">
        <v>37</v>
      </c>
      <c r="J247" s="1" t="s">
        <v>66</v>
      </c>
      <c r="K247" s="1" t="s">
        <v>37</v>
      </c>
      <c r="L247" s="2" t="s">
        <v>631</v>
      </c>
    </row>
    <row r="248" spans="1:12" ht="15" x14ac:dyDescent="0.25">
      <c r="A248" s="1" t="s">
        <v>632</v>
      </c>
      <c r="B248" s="1" t="s">
        <v>514</v>
      </c>
      <c r="D248" s="27" t="s">
        <v>633</v>
      </c>
      <c r="F248" s="1" t="s">
        <v>37</v>
      </c>
      <c r="G248" s="1" t="s">
        <v>37</v>
      </c>
      <c r="H248" s="1" t="s">
        <v>37</v>
      </c>
      <c r="I248" s="1" t="s">
        <v>37</v>
      </c>
      <c r="J248" s="1" t="s">
        <v>37</v>
      </c>
      <c r="K248" s="1" t="s">
        <v>37</v>
      </c>
      <c r="L248" s="2" t="s">
        <v>634</v>
      </c>
    </row>
    <row r="249" spans="1:12" ht="15" x14ac:dyDescent="0.25">
      <c r="A249" s="1" t="s">
        <v>635</v>
      </c>
      <c r="B249" s="1" t="s">
        <v>514</v>
      </c>
      <c r="D249" s="27" t="s">
        <v>636</v>
      </c>
      <c r="F249" s="1" t="s">
        <v>37</v>
      </c>
      <c r="G249" s="1" t="s">
        <v>37</v>
      </c>
      <c r="H249" s="1" t="s">
        <v>37</v>
      </c>
      <c r="I249" s="1" t="s">
        <v>37</v>
      </c>
      <c r="J249" s="1" t="s">
        <v>37</v>
      </c>
      <c r="K249" s="1" t="s">
        <v>37</v>
      </c>
      <c r="L249" s="2" t="s">
        <v>637</v>
      </c>
    </row>
    <row r="250" spans="1:12" ht="15" x14ac:dyDescent="0.25">
      <c r="A250" s="1" t="s">
        <v>638</v>
      </c>
      <c r="B250" s="1" t="s">
        <v>514</v>
      </c>
      <c r="D250" s="27" t="s">
        <v>639</v>
      </c>
      <c r="F250" s="1" t="s">
        <v>37</v>
      </c>
      <c r="G250" s="1" t="s">
        <v>37</v>
      </c>
      <c r="H250" s="1" t="s">
        <v>37</v>
      </c>
      <c r="I250" s="1" t="s">
        <v>37</v>
      </c>
      <c r="J250" s="1" t="s">
        <v>37</v>
      </c>
      <c r="K250" s="1" t="s">
        <v>37</v>
      </c>
      <c r="L250" s="2" t="s">
        <v>640</v>
      </c>
    </row>
    <row r="251" spans="1:12" x14ac:dyDescent="0.2">
      <c r="A251" s="1" t="s">
        <v>641</v>
      </c>
      <c r="B251" s="1" t="s">
        <v>514</v>
      </c>
      <c r="D251" s="6"/>
      <c r="F251" s="1" t="s">
        <v>37</v>
      </c>
      <c r="G251" s="1" t="s">
        <v>66</v>
      </c>
      <c r="H251" s="1" t="s">
        <v>37</v>
      </c>
      <c r="I251" s="1" t="s">
        <v>37</v>
      </c>
      <c r="J251" s="1" t="s">
        <v>37</v>
      </c>
      <c r="K251" s="1" t="s">
        <v>37</v>
      </c>
      <c r="L251" s="2" t="s">
        <v>642</v>
      </c>
    </row>
    <row r="252" spans="1:12" x14ac:dyDescent="0.2">
      <c r="A252" s="1" t="s">
        <v>643</v>
      </c>
      <c r="B252" s="1" t="s">
        <v>514</v>
      </c>
      <c r="D252" s="6" t="s">
        <v>294</v>
      </c>
      <c r="F252" s="1" t="s">
        <v>37</v>
      </c>
      <c r="G252" s="1" t="s">
        <v>37</v>
      </c>
      <c r="H252" s="1" t="s">
        <v>37</v>
      </c>
      <c r="I252" s="1" t="s">
        <v>37</v>
      </c>
      <c r="J252" s="1" t="s">
        <v>37</v>
      </c>
      <c r="K252" s="1" t="s">
        <v>37</v>
      </c>
      <c r="L252" s="6"/>
    </row>
    <row r="253" spans="1:12" x14ac:dyDescent="0.2">
      <c r="A253" s="1" t="s">
        <v>644</v>
      </c>
      <c r="B253" s="1" t="s">
        <v>514</v>
      </c>
      <c r="D253" s="6"/>
      <c r="F253" s="1" t="s">
        <v>37</v>
      </c>
      <c r="G253" s="1" t="s">
        <v>37</v>
      </c>
      <c r="H253" s="1" t="s">
        <v>37</v>
      </c>
      <c r="I253" s="1" t="s">
        <v>37</v>
      </c>
      <c r="J253" s="1" t="s">
        <v>37</v>
      </c>
      <c r="K253" s="1" t="s">
        <v>37</v>
      </c>
      <c r="L253" s="2" t="s">
        <v>645</v>
      </c>
    </row>
    <row r="254" spans="1:12" x14ac:dyDescent="0.2">
      <c r="A254" s="1" t="s">
        <v>646</v>
      </c>
      <c r="B254" s="1" t="s">
        <v>514</v>
      </c>
      <c r="D254" s="6"/>
      <c r="F254" s="1" t="s">
        <v>37</v>
      </c>
      <c r="G254" s="1" t="s">
        <v>37</v>
      </c>
      <c r="H254" s="1" t="s">
        <v>37</v>
      </c>
      <c r="I254" s="1" t="s">
        <v>37</v>
      </c>
      <c r="J254" s="1" t="s">
        <v>37</v>
      </c>
      <c r="K254" s="1" t="s">
        <v>37</v>
      </c>
      <c r="L254" s="2" t="s">
        <v>647</v>
      </c>
    </row>
    <row r="255" spans="1:12" x14ac:dyDescent="0.2">
      <c r="A255" s="1" t="s">
        <v>648</v>
      </c>
      <c r="B255" s="1" t="s">
        <v>514</v>
      </c>
      <c r="D255" s="6"/>
      <c r="F255" s="1" t="s">
        <v>37</v>
      </c>
      <c r="G255" s="1" t="s">
        <v>37</v>
      </c>
      <c r="H255" s="1" t="s">
        <v>37</v>
      </c>
      <c r="I255" s="1" t="s">
        <v>37</v>
      </c>
      <c r="J255" s="1" t="s">
        <v>37</v>
      </c>
      <c r="K255" s="1" t="s">
        <v>37</v>
      </c>
      <c r="L255" s="6"/>
    </row>
    <row r="256" spans="1:12" ht="15" x14ac:dyDescent="0.25">
      <c r="A256" s="1" t="s">
        <v>649</v>
      </c>
      <c r="B256" s="1" t="s">
        <v>514</v>
      </c>
      <c r="D256" s="27" t="s">
        <v>650</v>
      </c>
      <c r="F256" s="1" t="s">
        <v>37</v>
      </c>
      <c r="G256" s="1" t="s">
        <v>37</v>
      </c>
      <c r="H256" s="1" t="s">
        <v>37</v>
      </c>
      <c r="I256" s="1" t="s">
        <v>37</v>
      </c>
      <c r="J256" s="1" t="s">
        <v>37</v>
      </c>
      <c r="K256" s="1" t="s">
        <v>37</v>
      </c>
      <c r="L256" s="2" t="s">
        <v>651</v>
      </c>
    </row>
    <row r="257" spans="1:12" ht="15" x14ac:dyDescent="0.25">
      <c r="A257" s="1" t="s">
        <v>652</v>
      </c>
      <c r="B257" s="1" t="s">
        <v>653</v>
      </c>
      <c r="D257" s="27" t="s">
        <v>654</v>
      </c>
      <c r="F257" s="1" t="s">
        <v>37</v>
      </c>
      <c r="G257" s="1" t="s">
        <v>37</v>
      </c>
      <c r="H257" s="1" t="s">
        <v>37</v>
      </c>
      <c r="I257" s="1" t="s">
        <v>37</v>
      </c>
      <c r="J257" s="1" t="s">
        <v>37</v>
      </c>
      <c r="K257" s="1" t="s">
        <v>37</v>
      </c>
      <c r="L257" s="2" t="s">
        <v>655</v>
      </c>
    </row>
    <row r="258" spans="1:12" ht="15" x14ac:dyDescent="0.25">
      <c r="A258" s="1" t="s">
        <v>656</v>
      </c>
      <c r="B258" s="1" t="s">
        <v>653</v>
      </c>
      <c r="D258" s="27" t="s">
        <v>657</v>
      </c>
      <c r="F258" s="1" t="s">
        <v>37</v>
      </c>
      <c r="G258" s="1" t="s">
        <v>37</v>
      </c>
      <c r="H258" s="1" t="s">
        <v>37</v>
      </c>
      <c r="I258" s="1" t="s">
        <v>37</v>
      </c>
      <c r="J258" s="1" t="s">
        <v>37</v>
      </c>
      <c r="K258" s="1" t="s">
        <v>37</v>
      </c>
      <c r="L258" s="2" t="s">
        <v>658</v>
      </c>
    </row>
    <row r="259" spans="1:12" x14ac:dyDescent="0.2">
      <c r="A259" s="1" t="s">
        <v>659</v>
      </c>
      <c r="B259" s="1" t="s">
        <v>653</v>
      </c>
      <c r="D259" s="6"/>
      <c r="F259" s="1" t="s">
        <v>37</v>
      </c>
      <c r="G259" s="1" t="s">
        <v>37</v>
      </c>
      <c r="H259" s="1" t="s">
        <v>37</v>
      </c>
      <c r="I259" s="1" t="s">
        <v>37</v>
      </c>
      <c r="J259" s="1" t="s">
        <v>37</v>
      </c>
      <c r="K259" s="1" t="s">
        <v>37</v>
      </c>
      <c r="L259" s="2" t="s">
        <v>660</v>
      </c>
    </row>
    <row r="260" spans="1:12" x14ac:dyDescent="0.2">
      <c r="A260" s="1" t="s">
        <v>661</v>
      </c>
      <c r="B260" s="1" t="s">
        <v>653</v>
      </c>
      <c r="D260" s="6"/>
      <c r="F260" s="1" t="s">
        <v>37</v>
      </c>
      <c r="G260" s="1" t="s">
        <v>37</v>
      </c>
      <c r="H260" s="1" t="s">
        <v>37</v>
      </c>
      <c r="I260" s="1" t="s">
        <v>37</v>
      </c>
      <c r="J260" s="1" t="s">
        <v>37</v>
      </c>
      <c r="K260" s="1" t="s">
        <v>37</v>
      </c>
      <c r="L260" s="2" t="s">
        <v>662</v>
      </c>
    </row>
    <row r="261" spans="1:12" ht="15" x14ac:dyDescent="0.25">
      <c r="A261" s="1" t="s">
        <v>663</v>
      </c>
      <c r="B261" s="1" t="s">
        <v>653</v>
      </c>
      <c r="D261" s="27" t="s">
        <v>664</v>
      </c>
      <c r="F261" s="1" t="s">
        <v>37</v>
      </c>
      <c r="G261" s="1" t="s">
        <v>66</v>
      </c>
      <c r="H261" s="1" t="s">
        <v>37</v>
      </c>
      <c r="I261" s="1" t="s">
        <v>37</v>
      </c>
      <c r="J261" s="1" t="s">
        <v>37</v>
      </c>
      <c r="K261" s="1" t="s">
        <v>37</v>
      </c>
      <c r="L261" s="2" t="s">
        <v>665</v>
      </c>
    </row>
    <row r="262" spans="1:12" ht="15" x14ac:dyDescent="0.25">
      <c r="A262" s="1" t="s">
        <v>666</v>
      </c>
      <c r="B262" s="1" t="s">
        <v>653</v>
      </c>
      <c r="D262" s="27" t="s">
        <v>667</v>
      </c>
      <c r="F262" s="1" t="s">
        <v>37</v>
      </c>
      <c r="G262" s="1" t="s">
        <v>37</v>
      </c>
      <c r="H262" s="1" t="s">
        <v>37</v>
      </c>
      <c r="I262" s="1" t="s">
        <v>37</v>
      </c>
      <c r="J262" s="1" t="s">
        <v>37</v>
      </c>
      <c r="K262" s="1" t="s">
        <v>37</v>
      </c>
      <c r="L262" s="2" t="s">
        <v>668</v>
      </c>
    </row>
    <row r="263" spans="1:12" ht="15" x14ac:dyDescent="0.25">
      <c r="A263" s="1" t="s">
        <v>669</v>
      </c>
      <c r="B263" s="1" t="s">
        <v>653</v>
      </c>
      <c r="D263" s="27" t="s">
        <v>670</v>
      </c>
      <c r="F263" s="1" t="s">
        <v>37</v>
      </c>
      <c r="G263" s="1" t="s">
        <v>37</v>
      </c>
      <c r="H263" s="1" t="s">
        <v>37</v>
      </c>
      <c r="I263" s="1" t="s">
        <v>37</v>
      </c>
      <c r="J263" s="1" t="s">
        <v>37</v>
      </c>
      <c r="K263" s="1" t="s">
        <v>37</v>
      </c>
      <c r="L263" s="2" t="s">
        <v>671</v>
      </c>
    </row>
    <row r="264" spans="1:12" x14ac:dyDescent="0.2">
      <c r="A264" s="1" t="s">
        <v>672</v>
      </c>
      <c r="B264" s="1" t="s">
        <v>653</v>
      </c>
      <c r="D264" s="6"/>
      <c r="F264" s="1" t="s">
        <v>37</v>
      </c>
      <c r="G264" s="1" t="s">
        <v>37</v>
      </c>
      <c r="H264" s="1" t="s">
        <v>66</v>
      </c>
      <c r="I264" s="1" t="s">
        <v>37</v>
      </c>
      <c r="J264" s="1" t="s">
        <v>37</v>
      </c>
      <c r="K264" s="1" t="s">
        <v>37</v>
      </c>
      <c r="L264" s="2" t="s">
        <v>673</v>
      </c>
    </row>
    <row r="265" spans="1:12" ht="15" x14ac:dyDescent="0.25">
      <c r="A265" s="1" t="s">
        <v>674</v>
      </c>
      <c r="B265" s="1" t="s">
        <v>653</v>
      </c>
      <c r="D265" s="27" t="s">
        <v>675</v>
      </c>
      <c r="F265" s="1" t="s">
        <v>37</v>
      </c>
      <c r="G265" s="1" t="s">
        <v>37</v>
      </c>
      <c r="H265" s="1" t="s">
        <v>37</v>
      </c>
      <c r="I265" s="1" t="s">
        <v>37</v>
      </c>
      <c r="J265" s="1" t="s">
        <v>37</v>
      </c>
      <c r="K265" s="1" t="s">
        <v>37</v>
      </c>
      <c r="L265" s="6"/>
    </row>
    <row r="266" spans="1:12" x14ac:dyDescent="0.2">
      <c r="A266" s="1" t="s">
        <v>676</v>
      </c>
      <c r="B266" s="1" t="s">
        <v>653</v>
      </c>
      <c r="D266" s="6"/>
      <c r="F266" s="1" t="s">
        <v>37</v>
      </c>
      <c r="G266" s="1" t="s">
        <v>37</v>
      </c>
      <c r="H266" s="1" t="s">
        <v>37</v>
      </c>
      <c r="I266" s="1" t="s">
        <v>37</v>
      </c>
      <c r="J266" s="1" t="s">
        <v>37</v>
      </c>
      <c r="K266" s="1" t="s">
        <v>37</v>
      </c>
      <c r="L266" s="2" t="s">
        <v>678</v>
      </c>
    </row>
    <row r="267" spans="1:12" ht="15" x14ac:dyDescent="0.25">
      <c r="A267" s="1" t="s">
        <v>677</v>
      </c>
      <c r="B267" s="1" t="s">
        <v>653</v>
      </c>
      <c r="D267" s="27" t="s">
        <v>679</v>
      </c>
      <c r="F267" s="1" t="s">
        <v>37</v>
      </c>
      <c r="G267" s="1" t="s">
        <v>37</v>
      </c>
      <c r="H267" s="1" t="s">
        <v>37</v>
      </c>
      <c r="I267" s="1" t="s">
        <v>37</v>
      </c>
      <c r="J267" s="1" t="s">
        <v>66</v>
      </c>
      <c r="K267" s="1" t="s">
        <v>37</v>
      </c>
      <c r="L267" s="2" t="s">
        <v>680</v>
      </c>
    </row>
    <row r="268" spans="1:12" ht="15" x14ac:dyDescent="0.25">
      <c r="A268" s="1" t="s">
        <v>681</v>
      </c>
      <c r="B268" s="1" t="s">
        <v>653</v>
      </c>
      <c r="D268" s="27" t="s">
        <v>682</v>
      </c>
      <c r="F268" s="1" t="s">
        <v>37</v>
      </c>
      <c r="G268" s="1" t="s">
        <v>37</v>
      </c>
      <c r="H268" s="1" t="s">
        <v>37</v>
      </c>
      <c r="I268" s="1" t="s">
        <v>37</v>
      </c>
      <c r="J268" s="1" t="s">
        <v>37</v>
      </c>
      <c r="K268" s="1" t="s">
        <v>37</v>
      </c>
      <c r="L268" s="2" t="s">
        <v>683</v>
      </c>
    </row>
    <row r="269" spans="1:12" x14ac:dyDescent="0.2">
      <c r="A269" s="1" t="s">
        <v>684</v>
      </c>
      <c r="B269" s="1" t="s">
        <v>653</v>
      </c>
      <c r="D269" s="6"/>
      <c r="F269" s="1" t="s">
        <v>37</v>
      </c>
      <c r="G269" s="1" t="s">
        <v>66</v>
      </c>
      <c r="H269" s="1" t="s">
        <v>37</v>
      </c>
      <c r="I269" s="1" t="s">
        <v>37</v>
      </c>
      <c r="J269" s="1" t="s">
        <v>37</v>
      </c>
      <c r="K269" s="1" t="s">
        <v>37</v>
      </c>
      <c r="L269" s="6"/>
    </row>
    <row r="270" spans="1:12" x14ac:dyDescent="0.2">
      <c r="A270" s="1" t="s">
        <v>685</v>
      </c>
      <c r="B270" s="1" t="s">
        <v>653</v>
      </c>
      <c r="D270" s="6"/>
      <c r="F270" s="1" t="s">
        <v>37</v>
      </c>
      <c r="G270" s="1" t="s">
        <v>37</v>
      </c>
      <c r="H270" s="1" t="s">
        <v>37</v>
      </c>
      <c r="I270" s="1" t="s">
        <v>37</v>
      </c>
      <c r="J270" s="1" t="s">
        <v>37</v>
      </c>
      <c r="K270" s="1" t="s">
        <v>37</v>
      </c>
      <c r="L270" s="2" t="s">
        <v>686</v>
      </c>
    </row>
    <row r="271" spans="1:12" ht="15" x14ac:dyDescent="0.25">
      <c r="A271" s="1" t="s">
        <v>687</v>
      </c>
      <c r="B271" s="1" t="s">
        <v>653</v>
      </c>
      <c r="D271" s="27" t="s">
        <v>688</v>
      </c>
      <c r="F271" s="1" t="s">
        <v>37</v>
      </c>
      <c r="G271" s="1" t="s">
        <v>37</v>
      </c>
      <c r="H271" s="1" t="s">
        <v>37</v>
      </c>
      <c r="I271" s="1" t="s">
        <v>37</v>
      </c>
      <c r="J271" s="1" t="s">
        <v>37</v>
      </c>
      <c r="K271" s="1" t="s">
        <v>37</v>
      </c>
      <c r="L271" s="2" t="s">
        <v>689</v>
      </c>
    </row>
    <row r="272" spans="1:12" x14ac:dyDescent="0.2">
      <c r="A272" s="1" t="s">
        <v>690</v>
      </c>
      <c r="B272" s="1" t="s">
        <v>653</v>
      </c>
      <c r="D272" s="6"/>
      <c r="F272" s="1" t="s">
        <v>37</v>
      </c>
      <c r="G272" s="1" t="s">
        <v>37</v>
      </c>
      <c r="H272" s="1" t="s">
        <v>37</v>
      </c>
      <c r="I272" s="1" t="s">
        <v>37</v>
      </c>
      <c r="J272" s="1" t="s">
        <v>37</v>
      </c>
      <c r="K272" s="1" t="s">
        <v>37</v>
      </c>
      <c r="L272" s="2" t="s">
        <v>691</v>
      </c>
    </row>
    <row r="273" spans="1:12" x14ac:dyDescent="0.2">
      <c r="A273" s="1" t="s">
        <v>692</v>
      </c>
      <c r="B273" s="1" t="s">
        <v>653</v>
      </c>
      <c r="D273" s="6"/>
      <c r="F273" s="1" t="s">
        <v>37</v>
      </c>
      <c r="G273" s="1" t="s">
        <v>66</v>
      </c>
      <c r="H273" s="1" t="s">
        <v>37</v>
      </c>
      <c r="I273" s="1" t="s">
        <v>37</v>
      </c>
      <c r="J273" s="1" t="s">
        <v>66</v>
      </c>
      <c r="K273" s="1" t="s">
        <v>37</v>
      </c>
      <c r="L273" s="2" t="s">
        <v>693</v>
      </c>
    </row>
    <row r="274" spans="1:12" x14ac:dyDescent="0.2">
      <c r="A274" s="1" t="s">
        <v>694</v>
      </c>
      <c r="B274" s="1" t="s">
        <v>653</v>
      </c>
      <c r="D274" s="6"/>
      <c r="F274" s="1" t="s">
        <v>37</v>
      </c>
      <c r="G274" s="1" t="s">
        <v>37</v>
      </c>
      <c r="H274" s="1" t="s">
        <v>37</v>
      </c>
      <c r="I274" s="1" t="s">
        <v>37</v>
      </c>
      <c r="J274" s="1" t="s">
        <v>37</v>
      </c>
      <c r="K274" s="1" t="s">
        <v>37</v>
      </c>
      <c r="L274" s="2" t="s">
        <v>695</v>
      </c>
    </row>
    <row r="275" spans="1:12" x14ac:dyDescent="0.2">
      <c r="A275" s="1" t="s">
        <v>696</v>
      </c>
      <c r="B275" s="1" t="s">
        <v>653</v>
      </c>
      <c r="D275" s="6"/>
      <c r="F275" s="1" t="s">
        <v>37</v>
      </c>
      <c r="G275" s="1" t="s">
        <v>37</v>
      </c>
      <c r="H275" s="1" t="s">
        <v>37</v>
      </c>
      <c r="I275" s="1" t="s">
        <v>37</v>
      </c>
      <c r="J275" s="1" t="s">
        <v>37</v>
      </c>
      <c r="K275" s="1" t="s">
        <v>37</v>
      </c>
      <c r="L275" s="2" t="s">
        <v>697</v>
      </c>
    </row>
    <row r="276" spans="1:12" ht="15" x14ac:dyDescent="0.25">
      <c r="A276" s="1" t="s">
        <v>698</v>
      </c>
      <c r="B276" s="1" t="s">
        <v>653</v>
      </c>
      <c r="D276" s="27" t="s">
        <v>699</v>
      </c>
      <c r="F276" s="1" t="s">
        <v>37</v>
      </c>
      <c r="G276" s="1" t="s">
        <v>66</v>
      </c>
      <c r="H276" s="1" t="s">
        <v>66</v>
      </c>
      <c r="I276" s="1" t="s">
        <v>37</v>
      </c>
      <c r="J276" s="1" t="s">
        <v>37</v>
      </c>
      <c r="K276" s="1" t="s">
        <v>37</v>
      </c>
      <c r="L276" s="2" t="s">
        <v>700</v>
      </c>
    </row>
    <row r="277" spans="1:12" ht="15" x14ac:dyDescent="0.25">
      <c r="A277" s="1" t="s">
        <v>701</v>
      </c>
      <c r="B277" s="1" t="s">
        <v>653</v>
      </c>
      <c r="D277" s="27" t="s">
        <v>702</v>
      </c>
      <c r="F277" s="1" t="s">
        <v>37</v>
      </c>
      <c r="G277" s="1" t="s">
        <v>37</v>
      </c>
      <c r="H277" s="1" t="s">
        <v>37</v>
      </c>
      <c r="I277" s="1" t="s">
        <v>37</v>
      </c>
      <c r="J277" s="1" t="s">
        <v>37</v>
      </c>
      <c r="K277" s="1" t="s">
        <v>37</v>
      </c>
      <c r="L277" s="2" t="s">
        <v>703</v>
      </c>
    </row>
    <row r="278" spans="1:12" ht="15" x14ac:dyDescent="0.25">
      <c r="A278" s="1" t="s">
        <v>704</v>
      </c>
      <c r="B278" s="1" t="s">
        <v>653</v>
      </c>
      <c r="D278" s="27" t="s">
        <v>705</v>
      </c>
      <c r="F278" s="1" t="s">
        <v>37</v>
      </c>
      <c r="G278" s="1" t="s">
        <v>37</v>
      </c>
      <c r="H278" s="1" t="s">
        <v>37</v>
      </c>
      <c r="I278" s="1" t="s">
        <v>37</v>
      </c>
      <c r="J278" s="1" t="s">
        <v>37</v>
      </c>
      <c r="K278" s="1" t="s">
        <v>37</v>
      </c>
      <c r="L278" s="2" t="s">
        <v>706</v>
      </c>
    </row>
    <row r="279" spans="1:12" ht="15" x14ac:dyDescent="0.25">
      <c r="A279" s="1" t="s">
        <v>707</v>
      </c>
      <c r="B279" s="1" t="s">
        <v>653</v>
      </c>
      <c r="D279" s="27" t="s">
        <v>708</v>
      </c>
      <c r="F279" s="1" t="s">
        <v>37</v>
      </c>
      <c r="G279" s="1" t="s">
        <v>37</v>
      </c>
      <c r="H279" s="1" t="s">
        <v>37</v>
      </c>
      <c r="I279" s="1" t="s">
        <v>37</v>
      </c>
      <c r="J279" s="1" t="s">
        <v>37</v>
      </c>
      <c r="K279" s="1" t="s">
        <v>37</v>
      </c>
      <c r="L279" s="2" t="s">
        <v>709</v>
      </c>
    </row>
    <row r="280" spans="1:12" x14ac:dyDescent="0.2">
      <c r="A280" s="1" t="s">
        <v>710</v>
      </c>
      <c r="B280" s="1" t="s">
        <v>653</v>
      </c>
      <c r="D280" s="6"/>
      <c r="F280" s="1" t="s">
        <v>37</v>
      </c>
      <c r="G280" s="1" t="s">
        <v>37</v>
      </c>
      <c r="H280" s="1" t="s">
        <v>37</v>
      </c>
      <c r="I280" s="1" t="s">
        <v>37</v>
      </c>
      <c r="J280" s="1" t="s">
        <v>37</v>
      </c>
      <c r="K280" s="1" t="s">
        <v>37</v>
      </c>
      <c r="L280" s="2" t="s">
        <v>711</v>
      </c>
    </row>
    <row r="281" spans="1:12" ht="15" x14ac:dyDescent="0.25">
      <c r="A281" s="1" t="s">
        <v>712</v>
      </c>
      <c r="B281" s="1" t="s">
        <v>653</v>
      </c>
      <c r="D281" s="27" t="s">
        <v>713</v>
      </c>
      <c r="F281" s="1" t="s">
        <v>37</v>
      </c>
      <c r="G281" s="1" t="s">
        <v>66</v>
      </c>
      <c r="H281" s="1" t="s">
        <v>37</v>
      </c>
      <c r="I281" s="1" t="s">
        <v>37</v>
      </c>
      <c r="J281" s="1" t="s">
        <v>37</v>
      </c>
      <c r="K281" s="1" t="s">
        <v>37</v>
      </c>
      <c r="L281" s="2" t="s">
        <v>714</v>
      </c>
    </row>
    <row r="282" spans="1:12" x14ac:dyDescent="0.2">
      <c r="A282" s="1" t="s">
        <v>715</v>
      </c>
      <c r="B282" s="1" t="s">
        <v>653</v>
      </c>
      <c r="D282" s="6"/>
      <c r="F282" s="1" t="s">
        <v>37</v>
      </c>
      <c r="G282" s="1" t="s">
        <v>66</v>
      </c>
      <c r="H282" s="1" t="s">
        <v>37</v>
      </c>
      <c r="I282" s="1" t="s">
        <v>37</v>
      </c>
      <c r="J282" s="1" t="s">
        <v>37</v>
      </c>
      <c r="K282" s="1" t="s">
        <v>37</v>
      </c>
      <c r="L282" s="2" t="s">
        <v>716</v>
      </c>
    </row>
    <row r="283" spans="1:12" x14ac:dyDescent="0.2">
      <c r="A283" s="1" t="s">
        <v>717</v>
      </c>
      <c r="B283" s="1" t="s">
        <v>653</v>
      </c>
      <c r="D283" s="6"/>
      <c r="F283" s="1" t="s">
        <v>37</v>
      </c>
      <c r="G283" s="1" t="s">
        <v>37</v>
      </c>
      <c r="H283" s="1" t="s">
        <v>37</v>
      </c>
      <c r="I283" s="1" t="s">
        <v>37</v>
      </c>
      <c r="J283" s="1" t="s">
        <v>37</v>
      </c>
      <c r="K283" s="1" t="s">
        <v>37</v>
      </c>
      <c r="L283" s="2" t="s">
        <v>718</v>
      </c>
    </row>
    <row r="284" spans="1:12" x14ac:dyDescent="0.2">
      <c r="A284" s="1" t="s">
        <v>719</v>
      </c>
      <c r="B284" s="1" t="s">
        <v>653</v>
      </c>
      <c r="D284" s="6"/>
      <c r="F284" s="1" t="s">
        <v>37</v>
      </c>
      <c r="G284" s="1" t="s">
        <v>37</v>
      </c>
      <c r="H284" s="1" t="s">
        <v>37</v>
      </c>
      <c r="I284" s="1" t="s">
        <v>37</v>
      </c>
      <c r="J284" s="1" t="s">
        <v>37</v>
      </c>
      <c r="K284" s="1" t="s">
        <v>37</v>
      </c>
      <c r="L284" s="2" t="s">
        <v>720</v>
      </c>
    </row>
    <row r="285" spans="1:12" ht="15" x14ac:dyDescent="0.25">
      <c r="A285" s="1" t="s">
        <v>721</v>
      </c>
      <c r="B285" s="1" t="s">
        <v>653</v>
      </c>
      <c r="D285" s="27" t="s">
        <v>722</v>
      </c>
      <c r="F285" s="1" t="s">
        <v>37</v>
      </c>
      <c r="G285" s="1" t="s">
        <v>37</v>
      </c>
      <c r="H285" s="1" t="s">
        <v>37</v>
      </c>
      <c r="I285" s="1" t="s">
        <v>37</v>
      </c>
      <c r="J285" s="1" t="s">
        <v>37</v>
      </c>
      <c r="K285" s="1" t="s">
        <v>37</v>
      </c>
      <c r="L285" s="2" t="s">
        <v>723</v>
      </c>
    </row>
    <row r="286" spans="1:12" x14ac:dyDescent="0.2">
      <c r="A286" s="1" t="s">
        <v>726</v>
      </c>
      <c r="B286" s="1" t="s">
        <v>653</v>
      </c>
      <c r="D286" s="6"/>
      <c r="F286" s="1" t="s">
        <v>37</v>
      </c>
      <c r="G286" s="1" t="s">
        <v>37</v>
      </c>
      <c r="H286" s="1" t="s">
        <v>37</v>
      </c>
      <c r="I286" s="1" t="s">
        <v>37</v>
      </c>
      <c r="J286" s="1" t="s">
        <v>37</v>
      </c>
      <c r="K286" s="1" t="s">
        <v>37</v>
      </c>
      <c r="L286" s="6"/>
    </row>
    <row r="287" spans="1:12" x14ac:dyDescent="0.2">
      <c r="A287" s="1" t="s">
        <v>727</v>
      </c>
      <c r="B287" s="1" t="s">
        <v>653</v>
      </c>
      <c r="D287" s="6"/>
      <c r="F287" s="1" t="s">
        <v>37</v>
      </c>
      <c r="G287" s="1" t="s">
        <v>37</v>
      </c>
      <c r="H287" s="1" t="s">
        <v>37</v>
      </c>
      <c r="I287" s="1" t="s">
        <v>37</v>
      </c>
      <c r="J287" s="1" t="s">
        <v>37</v>
      </c>
      <c r="K287" s="1" t="s">
        <v>37</v>
      </c>
      <c r="L287" s="2" t="s">
        <v>724</v>
      </c>
    </row>
    <row r="288" spans="1:12" x14ac:dyDescent="0.2">
      <c r="A288" s="1" t="s">
        <v>725</v>
      </c>
      <c r="B288" s="1" t="s">
        <v>653</v>
      </c>
      <c r="D288" s="6"/>
      <c r="F288" s="1" t="s">
        <v>37</v>
      </c>
      <c r="G288" s="1" t="s">
        <v>37</v>
      </c>
      <c r="H288" s="1" t="s">
        <v>37</v>
      </c>
      <c r="I288" s="1" t="s">
        <v>37</v>
      </c>
      <c r="J288" s="1" t="s">
        <v>37</v>
      </c>
      <c r="K288" s="1" t="s">
        <v>37</v>
      </c>
      <c r="L288" s="6"/>
    </row>
    <row r="289" spans="1:12" x14ac:dyDescent="0.2">
      <c r="A289" s="1" t="s">
        <v>728</v>
      </c>
      <c r="B289" s="1" t="s">
        <v>653</v>
      </c>
      <c r="D289" s="6"/>
      <c r="F289" s="1" t="s">
        <v>37</v>
      </c>
      <c r="G289" s="1" t="s">
        <v>37</v>
      </c>
      <c r="H289" s="1" t="s">
        <v>37</v>
      </c>
      <c r="I289" s="1" t="s">
        <v>37</v>
      </c>
      <c r="J289" s="1" t="s">
        <v>37</v>
      </c>
      <c r="K289" s="1" t="s">
        <v>37</v>
      </c>
      <c r="L289" s="2" t="s">
        <v>729</v>
      </c>
    </row>
    <row r="290" spans="1:12" x14ac:dyDescent="0.2">
      <c r="A290" s="1" t="s">
        <v>730</v>
      </c>
      <c r="B290" s="1" t="s">
        <v>653</v>
      </c>
      <c r="D290" s="6"/>
      <c r="F290" s="1" t="s">
        <v>37</v>
      </c>
      <c r="G290" s="1" t="s">
        <v>66</v>
      </c>
      <c r="H290" s="1" t="s">
        <v>66</v>
      </c>
      <c r="I290" s="1" t="s">
        <v>37</v>
      </c>
      <c r="J290" s="1" t="s">
        <v>37</v>
      </c>
      <c r="K290" s="1" t="s">
        <v>37</v>
      </c>
      <c r="L290" s="2" t="s">
        <v>215</v>
      </c>
    </row>
    <row r="291" spans="1:12" x14ac:dyDescent="0.2">
      <c r="A291" s="1" t="s">
        <v>307</v>
      </c>
      <c r="B291" s="1" t="s">
        <v>653</v>
      </c>
      <c r="D291" s="6"/>
      <c r="F291" s="1" t="s">
        <v>37</v>
      </c>
      <c r="G291" s="1" t="s">
        <v>37</v>
      </c>
      <c r="H291" s="1" t="s">
        <v>37</v>
      </c>
      <c r="I291" s="1" t="s">
        <v>37</v>
      </c>
      <c r="J291" s="1" t="s">
        <v>37</v>
      </c>
      <c r="K291" s="1" t="s">
        <v>37</v>
      </c>
      <c r="L291" s="2" t="s">
        <v>731</v>
      </c>
    </row>
    <row r="292" spans="1:12" x14ac:dyDescent="0.2">
      <c r="A292" s="1" t="s">
        <v>732</v>
      </c>
      <c r="B292" s="1" t="s">
        <v>653</v>
      </c>
      <c r="D292" s="6"/>
      <c r="F292" s="1" t="s">
        <v>37</v>
      </c>
      <c r="G292" s="1" t="s">
        <v>37</v>
      </c>
      <c r="H292" s="1" t="s">
        <v>37</v>
      </c>
      <c r="I292" s="1" t="s">
        <v>37</v>
      </c>
      <c r="J292" s="1" t="s">
        <v>37</v>
      </c>
      <c r="K292" s="1" t="s">
        <v>37</v>
      </c>
      <c r="L292" s="2" t="s">
        <v>310</v>
      </c>
    </row>
    <row r="293" spans="1:12" ht="15" x14ac:dyDescent="0.25">
      <c r="A293" s="1" t="s">
        <v>733</v>
      </c>
      <c r="B293" s="1" t="s">
        <v>653</v>
      </c>
      <c r="D293" s="27" t="s">
        <v>734</v>
      </c>
      <c r="F293" s="1" t="s">
        <v>37</v>
      </c>
      <c r="G293" s="1" t="s">
        <v>37</v>
      </c>
      <c r="H293" s="1" t="s">
        <v>37</v>
      </c>
      <c r="I293" s="1" t="s">
        <v>37</v>
      </c>
      <c r="J293" s="1" t="s">
        <v>37</v>
      </c>
      <c r="K293" s="1" t="s">
        <v>37</v>
      </c>
      <c r="L293" s="2" t="s">
        <v>735</v>
      </c>
    </row>
    <row r="294" spans="1:12" x14ac:dyDescent="0.2">
      <c r="A294" s="1" t="s">
        <v>736</v>
      </c>
      <c r="B294" s="1" t="s">
        <v>653</v>
      </c>
      <c r="D294" s="6"/>
      <c r="F294" s="1" t="s">
        <v>37</v>
      </c>
      <c r="G294" s="1" t="s">
        <v>37</v>
      </c>
      <c r="H294" s="1" t="s">
        <v>37</v>
      </c>
      <c r="I294" s="1" t="s">
        <v>37</v>
      </c>
      <c r="J294" s="1" t="s">
        <v>37</v>
      </c>
      <c r="K294" s="1" t="s">
        <v>37</v>
      </c>
      <c r="L294" s="2" t="s">
        <v>737</v>
      </c>
    </row>
    <row r="295" spans="1:12" ht="15" x14ac:dyDescent="0.25">
      <c r="A295" s="1" t="s">
        <v>738</v>
      </c>
      <c r="B295" s="1" t="s">
        <v>653</v>
      </c>
      <c r="D295" s="27" t="s">
        <v>739</v>
      </c>
      <c r="F295" s="1" t="s">
        <v>37</v>
      </c>
      <c r="G295" s="1" t="s">
        <v>37</v>
      </c>
      <c r="H295" s="1" t="s">
        <v>37</v>
      </c>
      <c r="I295" s="1" t="s">
        <v>37</v>
      </c>
      <c r="J295" s="1" t="s">
        <v>37</v>
      </c>
      <c r="K295" s="1" t="s">
        <v>37</v>
      </c>
      <c r="L295" s="2" t="s">
        <v>740</v>
      </c>
    </row>
    <row r="296" spans="1:12" x14ac:dyDescent="0.2">
      <c r="A296" s="1" t="s">
        <v>741</v>
      </c>
      <c r="B296" s="1" t="s">
        <v>653</v>
      </c>
      <c r="D296" s="6"/>
      <c r="F296" s="1" t="s">
        <v>37</v>
      </c>
      <c r="G296" s="1" t="s">
        <v>37</v>
      </c>
      <c r="H296" s="1" t="s">
        <v>37</v>
      </c>
      <c r="I296" s="1" t="s">
        <v>37</v>
      </c>
      <c r="J296" s="1" t="s">
        <v>37</v>
      </c>
      <c r="K296" s="1" t="s">
        <v>37</v>
      </c>
      <c r="L296" s="2" t="s">
        <v>742</v>
      </c>
    </row>
    <row r="297" spans="1:12" ht="15" x14ac:dyDescent="0.25">
      <c r="A297" s="1" t="s">
        <v>743</v>
      </c>
      <c r="B297" s="1" t="s">
        <v>653</v>
      </c>
      <c r="D297" s="27" t="s">
        <v>744</v>
      </c>
      <c r="F297" s="1" t="s">
        <v>37</v>
      </c>
      <c r="G297" s="1" t="s">
        <v>37</v>
      </c>
      <c r="H297" s="1" t="s">
        <v>37</v>
      </c>
      <c r="I297" s="1" t="s">
        <v>37</v>
      </c>
      <c r="J297" s="1" t="s">
        <v>37</v>
      </c>
      <c r="K297" s="1" t="s">
        <v>37</v>
      </c>
      <c r="L297" s="6"/>
    </row>
    <row r="298" spans="1:12" ht="15" x14ac:dyDescent="0.25">
      <c r="A298" s="1" t="s">
        <v>745</v>
      </c>
      <c r="B298" s="1" t="s">
        <v>653</v>
      </c>
      <c r="D298" s="27" t="s">
        <v>746</v>
      </c>
      <c r="F298" s="1" t="s">
        <v>37</v>
      </c>
      <c r="G298" s="1" t="s">
        <v>750</v>
      </c>
      <c r="H298" s="1" t="s">
        <v>37</v>
      </c>
      <c r="I298" s="1" t="s">
        <v>37</v>
      </c>
      <c r="J298" s="1" t="s">
        <v>37</v>
      </c>
      <c r="K298" s="1" t="s">
        <v>37</v>
      </c>
      <c r="L298" s="6"/>
    </row>
    <row r="299" spans="1:12" ht="15" x14ac:dyDescent="0.25">
      <c r="A299" s="1" t="s">
        <v>747</v>
      </c>
      <c r="B299" s="1" t="s">
        <v>653</v>
      </c>
      <c r="D299" s="27" t="s">
        <v>748</v>
      </c>
      <c r="F299" s="1" t="s">
        <v>37</v>
      </c>
      <c r="G299" s="1" t="s">
        <v>37</v>
      </c>
      <c r="H299" s="1" t="s">
        <v>37</v>
      </c>
      <c r="I299" s="1" t="s">
        <v>37</v>
      </c>
      <c r="J299" s="1" t="s">
        <v>37</v>
      </c>
      <c r="K299" s="1" t="s">
        <v>37</v>
      </c>
      <c r="L299" s="2" t="s">
        <v>749</v>
      </c>
    </row>
    <row r="300" spans="1:12" ht="15" x14ac:dyDescent="0.25">
      <c r="A300" s="1" t="s">
        <v>751</v>
      </c>
      <c r="B300" s="1" t="s">
        <v>653</v>
      </c>
      <c r="D300" s="27" t="s">
        <v>752</v>
      </c>
      <c r="F300" s="1" t="s">
        <v>37</v>
      </c>
      <c r="G300" s="1" t="s">
        <v>37</v>
      </c>
      <c r="H300" s="1" t="s">
        <v>37</v>
      </c>
      <c r="I300" s="1" t="s">
        <v>37</v>
      </c>
      <c r="J300" s="1" t="s">
        <v>37</v>
      </c>
      <c r="K300" s="1" t="s">
        <v>37</v>
      </c>
      <c r="L300" s="6"/>
    </row>
    <row r="301" spans="1:12" ht="15" x14ac:dyDescent="0.25">
      <c r="A301" s="1" t="s">
        <v>753</v>
      </c>
      <c r="B301" s="1" t="s">
        <v>653</v>
      </c>
      <c r="D301" s="27" t="s">
        <v>754</v>
      </c>
      <c r="F301" s="1" t="s">
        <v>37</v>
      </c>
      <c r="G301" s="1" t="s">
        <v>37</v>
      </c>
      <c r="H301" s="1" t="s">
        <v>37</v>
      </c>
      <c r="I301" s="1" t="s">
        <v>37</v>
      </c>
      <c r="J301" s="1" t="s">
        <v>37</v>
      </c>
      <c r="K301" s="1" t="s">
        <v>37</v>
      </c>
      <c r="L301" s="6"/>
    </row>
    <row r="302" spans="1:12" ht="15" x14ac:dyDescent="0.25">
      <c r="A302" s="1" t="s">
        <v>755</v>
      </c>
      <c r="B302" s="1" t="s">
        <v>653</v>
      </c>
      <c r="D302" s="27" t="s">
        <v>756</v>
      </c>
      <c r="F302" s="1" t="s">
        <v>37</v>
      </c>
      <c r="G302" s="1" t="s">
        <v>37</v>
      </c>
      <c r="H302" s="1" t="s">
        <v>37</v>
      </c>
      <c r="I302" s="1" t="s">
        <v>37</v>
      </c>
      <c r="J302" s="1" t="s">
        <v>37</v>
      </c>
      <c r="K302" s="1" t="s">
        <v>37</v>
      </c>
      <c r="L302" s="2" t="s">
        <v>757</v>
      </c>
    </row>
    <row r="303" spans="1:12" ht="15" x14ac:dyDescent="0.25">
      <c r="A303" s="1" t="s">
        <v>758</v>
      </c>
      <c r="B303" s="1" t="s">
        <v>653</v>
      </c>
      <c r="D303" s="27" t="s">
        <v>759</v>
      </c>
      <c r="F303" s="1" t="s">
        <v>37</v>
      </c>
      <c r="G303" s="1" t="s">
        <v>37</v>
      </c>
      <c r="H303" s="1" t="s">
        <v>37</v>
      </c>
      <c r="I303" s="1" t="s">
        <v>37</v>
      </c>
      <c r="J303" s="1" t="s">
        <v>37</v>
      </c>
      <c r="K303" s="1" t="s">
        <v>37</v>
      </c>
      <c r="L303" s="2" t="s">
        <v>760</v>
      </c>
    </row>
    <row r="304" spans="1:12" x14ac:dyDescent="0.2">
      <c r="A304" s="1" t="s">
        <v>761</v>
      </c>
      <c r="B304" s="1" t="s">
        <v>653</v>
      </c>
      <c r="D304" s="6"/>
      <c r="F304" s="1" t="s">
        <v>37</v>
      </c>
      <c r="G304" s="1" t="s">
        <v>37</v>
      </c>
      <c r="H304" s="1" t="s">
        <v>37</v>
      </c>
      <c r="I304" s="1" t="s">
        <v>37</v>
      </c>
      <c r="J304" s="1" t="s">
        <v>37</v>
      </c>
      <c r="K304" s="1" t="s">
        <v>37</v>
      </c>
      <c r="L304" s="2" t="s">
        <v>762</v>
      </c>
    </row>
    <row r="305" spans="1:12" x14ac:dyDescent="0.2">
      <c r="A305" s="1" t="s">
        <v>763</v>
      </c>
      <c r="B305" s="1" t="s">
        <v>653</v>
      </c>
      <c r="D305" s="6"/>
      <c r="F305" s="1" t="s">
        <v>37</v>
      </c>
      <c r="G305" s="1" t="s">
        <v>37</v>
      </c>
      <c r="H305" s="1" t="s">
        <v>66</v>
      </c>
      <c r="I305" s="1" t="s">
        <v>37</v>
      </c>
      <c r="J305" s="1" t="s">
        <v>37</v>
      </c>
      <c r="K305" s="1" t="s">
        <v>37</v>
      </c>
      <c r="L305" s="2" t="s">
        <v>764</v>
      </c>
    </row>
    <row r="306" spans="1:12" ht="15" x14ac:dyDescent="0.25">
      <c r="A306" s="1" t="s">
        <v>765</v>
      </c>
      <c r="B306" s="1" t="s">
        <v>653</v>
      </c>
      <c r="D306" s="27" t="s">
        <v>766</v>
      </c>
      <c r="F306" s="1" t="s">
        <v>37</v>
      </c>
      <c r="G306" s="1" t="s">
        <v>37</v>
      </c>
      <c r="H306" s="1" t="s">
        <v>66</v>
      </c>
      <c r="I306" s="1" t="s">
        <v>37</v>
      </c>
      <c r="J306" s="1" t="s">
        <v>66</v>
      </c>
      <c r="K306" s="1" t="s">
        <v>37</v>
      </c>
      <c r="L306" s="6"/>
    </row>
    <row r="307" spans="1:12" x14ac:dyDescent="0.2">
      <c r="A307" s="1" t="s">
        <v>768</v>
      </c>
      <c r="B307" s="1" t="s">
        <v>653</v>
      </c>
      <c r="D307" s="6"/>
      <c r="F307" s="1" t="s">
        <v>37</v>
      </c>
      <c r="G307" s="1" t="s">
        <v>37</v>
      </c>
      <c r="I307" s="1" t="s">
        <v>37</v>
      </c>
      <c r="J307" s="1" t="s">
        <v>37</v>
      </c>
      <c r="K307" s="1" t="s">
        <v>37</v>
      </c>
      <c r="L307" s="2" t="s">
        <v>767</v>
      </c>
    </row>
    <row r="308" spans="1:12" ht="15" x14ac:dyDescent="0.25">
      <c r="A308" s="1" t="s">
        <v>769</v>
      </c>
      <c r="B308" s="1" t="s">
        <v>653</v>
      </c>
      <c r="D308" s="27" t="s">
        <v>770</v>
      </c>
      <c r="F308" s="1" t="s">
        <v>37</v>
      </c>
      <c r="G308" s="1" t="s">
        <v>37</v>
      </c>
      <c r="H308" s="1" t="s">
        <v>37</v>
      </c>
      <c r="I308" s="1" t="s">
        <v>37</v>
      </c>
      <c r="J308" s="1" t="s">
        <v>37</v>
      </c>
      <c r="K308" s="1" t="s">
        <v>37</v>
      </c>
      <c r="L308" s="6"/>
    </row>
    <row r="309" spans="1:12" ht="15" x14ac:dyDescent="0.25">
      <c r="A309" s="1" t="s">
        <v>771</v>
      </c>
      <c r="B309" s="1" t="s">
        <v>653</v>
      </c>
      <c r="D309" s="27" t="s">
        <v>772</v>
      </c>
      <c r="F309" s="1" t="s">
        <v>37</v>
      </c>
      <c r="G309" s="1" t="s">
        <v>37</v>
      </c>
      <c r="H309" s="1" t="s">
        <v>37</v>
      </c>
      <c r="I309" s="1" t="s">
        <v>37</v>
      </c>
      <c r="J309" s="1" t="s">
        <v>37</v>
      </c>
      <c r="K309" s="1" t="s">
        <v>37</v>
      </c>
      <c r="L309" s="2" t="s">
        <v>773</v>
      </c>
    </row>
    <row r="310" spans="1:12" ht="15" x14ac:dyDescent="0.25">
      <c r="A310" s="1" t="s">
        <v>774</v>
      </c>
      <c r="B310" s="1" t="s">
        <v>653</v>
      </c>
      <c r="D310" s="27" t="s">
        <v>775</v>
      </c>
      <c r="F310" s="1" t="s">
        <v>37</v>
      </c>
      <c r="G310" s="1" t="s">
        <v>37</v>
      </c>
      <c r="H310" s="1" t="s">
        <v>37</v>
      </c>
      <c r="I310" s="1" t="s">
        <v>37</v>
      </c>
      <c r="J310" s="1" t="s">
        <v>37</v>
      </c>
      <c r="K310" s="1" t="s">
        <v>37</v>
      </c>
      <c r="L310" s="2" t="s">
        <v>215</v>
      </c>
    </row>
    <row r="311" spans="1:12" ht="15" x14ac:dyDescent="0.25">
      <c r="A311" s="1" t="s">
        <v>776</v>
      </c>
      <c r="B311" s="1" t="s">
        <v>653</v>
      </c>
      <c r="D311" s="27" t="s">
        <v>777</v>
      </c>
      <c r="F311" s="1" t="s">
        <v>37</v>
      </c>
      <c r="G311" s="1" t="s">
        <v>37</v>
      </c>
      <c r="H311" s="1" t="s">
        <v>37</v>
      </c>
      <c r="I311" s="1" t="s">
        <v>37</v>
      </c>
      <c r="J311" s="1" t="s">
        <v>37</v>
      </c>
      <c r="K311" s="1" t="s">
        <v>66</v>
      </c>
      <c r="L311" s="2" t="s">
        <v>778</v>
      </c>
    </row>
    <row r="312" spans="1:12" ht="15" x14ac:dyDescent="0.25">
      <c r="A312" s="1" t="s">
        <v>779</v>
      </c>
      <c r="B312" s="1" t="s">
        <v>653</v>
      </c>
      <c r="D312" s="27" t="s">
        <v>780</v>
      </c>
      <c r="F312" s="1" t="s">
        <v>37</v>
      </c>
      <c r="G312" s="1" t="s">
        <v>37</v>
      </c>
      <c r="H312" s="1" t="s">
        <v>37</v>
      </c>
      <c r="I312" s="1" t="s">
        <v>37</v>
      </c>
      <c r="J312" s="1" t="s">
        <v>37</v>
      </c>
      <c r="K312" s="1" t="s">
        <v>37</v>
      </c>
      <c r="L312" s="6"/>
    </row>
    <row r="313" spans="1:12" ht="15" x14ac:dyDescent="0.25">
      <c r="A313" s="1" t="s">
        <v>781</v>
      </c>
      <c r="B313" s="1" t="s">
        <v>653</v>
      </c>
      <c r="D313" s="27" t="s">
        <v>782</v>
      </c>
      <c r="F313" s="1" t="s">
        <v>37</v>
      </c>
      <c r="G313" s="1" t="s">
        <v>37</v>
      </c>
      <c r="H313" s="1" t="s">
        <v>37</v>
      </c>
      <c r="I313" s="1" t="s">
        <v>37</v>
      </c>
      <c r="J313" s="1" t="s">
        <v>37</v>
      </c>
      <c r="K313" s="1" t="s">
        <v>37</v>
      </c>
      <c r="L313" s="2" t="s">
        <v>783</v>
      </c>
    </row>
    <row r="314" spans="1:12" ht="15" x14ac:dyDescent="0.25">
      <c r="A314" s="1" t="s">
        <v>784</v>
      </c>
      <c r="B314" s="1" t="s">
        <v>653</v>
      </c>
      <c r="D314" s="27" t="s">
        <v>785</v>
      </c>
      <c r="F314" s="1" t="s">
        <v>37</v>
      </c>
      <c r="G314" s="1" t="s">
        <v>37</v>
      </c>
      <c r="H314" s="1" t="s">
        <v>37</v>
      </c>
      <c r="I314" s="1" t="s">
        <v>37</v>
      </c>
      <c r="J314" s="1" t="s">
        <v>37</v>
      </c>
      <c r="K314" s="1" t="s">
        <v>37</v>
      </c>
      <c r="L314" s="2" t="s">
        <v>786</v>
      </c>
    </row>
    <row r="315" spans="1:12" x14ac:dyDescent="0.2">
      <c r="A315" s="1" t="s">
        <v>787</v>
      </c>
      <c r="B315" s="1" t="s">
        <v>653</v>
      </c>
      <c r="D315" s="6"/>
      <c r="F315" s="1" t="s">
        <v>37</v>
      </c>
      <c r="G315" s="1" t="s">
        <v>37</v>
      </c>
      <c r="H315" s="1" t="s">
        <v>37</v>
      </c>
      <c r="I315" s="1" t="s">
        <v>37</v>
      </c>
      <c r="J315" s="1" t="s">
        <v>37</v>
      </c>
      <c r="K315" s="1" t="s">
        <v>37</v>
      </c>
      <c r="L315" s="2" t="s">
        <v>788</v>
      </c>
    </row>
    <row r="316" spans="1:12" ht="15" x14ac:dyDescent="0.25">
      <c r="A316" s="1" t="s">
        <v>789</v>
      </c>
      <c r="B316" s="1" t="s">
        <v>653</v>
      </c>
      <c r="D316" s="27" t="s">
        <v>790</v>
      </c>
      <c r="F316" s="1" t="s">
        <v>37</v>
      </c>
      <c r="G316" s="1" t="s">
        <v>37</v>
      </c>
      <c r="H316" s="1" t="s">
        <v>37</v>
      </c>
      <c r="I316" s="1" t="s">
        <v>37</v>
      </c>
      <c r="J316" s="1" t="s">
        <v>37</v>
      </c>
      <c r="K316" s="1" t="s">
        <v>37</v>
      </c>
      <c r="L316" s="2" t="s">
        <v>791</v>
      </c>
    </row>
    <row r="317" spans="1:12" ht="15" x14ac:dyDescent="0.25">
      <c r="A317" s="1" t="s">
        <v>792</v>
      </c>
      <c r="B317" s="1" t="s">
        <v>793</v>
      </c>
      <c r="D317" s="27" t="s">
        <v>794</v>
      </c>
      <c r="F317" s="1" t="s">
        <v>37</v>
      </c>
      <c r="G317" s="1" t="s">
        <v>37</v>
      </c>
      <c r="H317" s="1" t="s">
        <v>37</v>
      </c>
      <c r="I317" s="1" t="s">
        <v>37</v>
      </c>
      <c r="J317" s="1" t="s">
        <v>37</v>
      </c>
      <c r="K317" s="1" t="s">
        <v>37</v>
      </c>
      <c r="L317" s="2" t="s">
        <v>795</v>
      </c>
    </row>
    <row r="318" spans="1:12" ht="15" x14ac:dyDescent="0.25">
      <c r="A318" s="1" t="s">
        <v>796</v>
      </c>
      <c r="B318" s="1" t="s">
        <v>793</v>
      </c>
      <c r="D318" s="27" t="s">
        <v>797</v>
      </c>
      <c r="F318" s="1" t="s">
        <v>37</v>
      </c>
      <c r="G318" s="1" t="s">
        <v>37</v>
      </c>
      <c r="H318" s="1" t="s">
        <v>37</v>
      </c>
      <c r="I318" s="1" t="s">
        <v>37</v>
      </c>
      <c r="J318" s="1" t="s">
        <v>37</v>
      </c>
      <c r="K318" s="1" t="s">
        <v>37</v>
      </c>
      <c r="L318" s="2" t="s">
        <v>798</v>
      </c>
    </row>
    <row r="319" spans="1:12" ht="15" x14ac:dyDescent="0.25">
      <c r="A319" s="1" t="s">
        <v>799</v>
      </c>
      <c r="B319" s="1" t="s">
        <v>793</v>
      </c>
      <c r="D319" s="27" t="s">
        <v>800</v>
      </c>
      <c r="F319" s="1" t="s">
        <v>37</v>
      </c>
      <c r="G319" s="1" t="s">
        <v>37</v>
      </c>
      <c r="H319" s="1" t="s">
        <v>37</v>
      </c>
      <c r="I319" s="1" t="s">
        <v>37</v>
      </c>
      <c r="J319" s="1" t="s">
        <v>37</v>
      </c>
      <c r="K319" s="1" t="s">
        <v>37</v>
      </c>
      <c r="L319" s="2" t="s">
        <v>801</v>
      </c>
    </row>
    <row r="320" spans="1:12" ht="15" x14ac:dyDescent="0.25">
      <c r="A320" s="1" t="s">
        <v>802</v>
      </c>
      <c r="B320" s="1" t="s">
        <v>793</v>
      </c>
      <c r="D320" s="27" t="s">
        <v>803</v>
      </c>
      <c r="F320" s="1" t="s">
        <v>37</v>
      </c>
      <c r="G320" s="1" t="s">
        <v>37</v>
      </c>
      <c r="H320" s="1" t="s">
        <v>37</v>
      </c>
      <c r="I320" s="1" t="s">
        <v>37</v>
      </c>
      <c r="J320" s="1" t="s">
        <v>37</v>
      </c>
      <c r="K320" s="1" t="s">
        <v>37</v>
      </c>
      <c r="L320" s="2" t="s">
        <v>804</v>
      </c>
    </row>
    <row r="321" spans="1:12" ht="15" x14ac:dyDescent="0.25">
      <c r="A321" s="1" t="s">
        <v>805</v>
      </c>
      <c r="B321" s="1" t="s">
        <v>793</v>
      </c>
      <c r="D321" s="27" t="s">
        <v>806</v>
      </c>
      <c r="F321" s="1" t="s">
        <v>37</v>
      </c>
      <c r="G321" s="1" t="s">
        <v>37</v>
      </c>
      <c r="H321" s="1" t="s">
        <v>37</v>
      </c>
      <c r="I321" s="1" t="s">
        <v>37</v>
      </c>
      <c r="J321" s="1" t="s">
        <v>37</v>
      </c>
      <c r="K321" s="1" t="s">
        <v>37</v>
      </c>
      <c r="L321" s="6"/>
    </row>
    <row r="322" spans="1:12" x14ac:dyDescent="0.2">
      <c r="A322" s="1" t="s">
        <v>807</v>
      </c>
      <c r="B322" s="1" t="s">
        <v>793</v>
      </c>
      <c r="D322" s="6"/>
      <c r="F322" s="1" t="s">
        <v>37</v>
      </c>
      <c r="G322" s="1" t="s">
        <v>37</v>
      </c>
      <c r="H322" s="1" t="s">
        <v>37</v>
      </c>
      <c r="I322" s="1" t="s">
        <v>37</v>
      </c>
      <c r="J322" s="1" t="s">
        <v>37</v>
      </c>
      <c r="K322" s="1" t="s">
        <v>37</v>
      </c>
      <c r="L322" s="2" t="s">
        <v>808</v>
      </c>
    </row>
    <row r="323" spans="1:12" x14ac:dyDescent="0.2">
      <c r="A323" s="1" t="s">
        <v>809</v>
      </c>
      <c r="B323" s="1" t="s">
        <v>793</v>
      </c>
      <c r="D323" s="6"/>
      <c r="F323" s="1" t="s">
        <v>37</v>
      </c>
      <c r="G323" s="1" t="s">
        <v>37</v>
      </c>
      <c r="H323" s="1" t="s">
        <v>37</v>
      </c>
      <c r="I323" s="1" t="s">
        <v>37</v>
      </c>
      <c r="J323" s="1" t="s">
        <v>37</v>
      </c>
      <c r="K323" s="1" t="s">
        <v>37</v>
      </c>
      <c r="L323" s="2" t="s">
        <v>810</v>
      </c>
    </row>
    <row r="324" spans="1:12" ht="15" x14ac:dyDescent="0.25">
      <c r="A324" s="1" t="s">
        <v>811</v>
      </c>
      <c r="B324" s="1" t="s">
        <v>793</v>
      </c>
      <c r="D324" s="27" t="s">
        <v>812</v>
      </c>
      <c r="F324" s="1" t="s">
        <v>37</v>
      </c>
      <c r="G324" s="1" t="s">
        <v>37</v>
      </c>
      <c r="H324" s="1" t="s">
        <v>37</v>
      </c>
      <c r="I324" s="1" t="s">
        <v>37</v>
      </c>
      <c r="J324" s="1" t="s">
        <v>37</v>
      </c>
      <c r="K324" s="1" t="s">
        <v>37</v>
      </c>
      <c r="L324" s="2" t="s">
        <v>813</v>
      </c>
    </row>
    <row r="325" spans="1:12" ht="15" x14ac:dyDescent="0.25">
      <c r="A325" s="1" t="s">
        <v>814</v>
      </c>
      <c r="B325" s="1" t="s">
        <v>793</v>
      </c>
      <c r="D325" s="27" t="s">
        <v>815</v>
      </c>
      <c r="F325" s="1" t="s">
        <v>37</v>
      </c>
      <c r="G325" s="1" t="s">
        <v>37</v>
      </c>
      <c r="H325" s="1" t="s">
        <v>37</v>
      </c>
      <c r="I325" s="1" t="s">
        <v>37</v>
      </c>
      <c r="J325" s="1" t="s">
        <v>37</v>
      </c>
      <c r="K325" s="1" t="s">
        <v>37</v>
      </c>
      <c r="L325" s="2" t="s">
        <v>816</v>
      </c>
    </row>
    <row r="326" spans="1:12" x14ac:dyDescent="0.2">
      <c r="A326" s="1" t="s">
        <v>817</v>
      </c>
      <c r="B326" s="1" t="s">
        <v>793</v>
      </c>
      <c r="D326" s="6"/>
      <c r="F326" s="1" t="s">
        <v>37</v>
      </c>
      <c r="G326" s="1" t="s">
        <v>37</v>
      </c>
      <c r="H326" s="1" t="s">
        <v>37</v>
      </c>
      <c r="I326" s="1" t="s">
        <v>37</v>
      </c>
      <c r="J326" s="1" t="s">
        <v>37</v>
      </c>
      <c r="K326" s="1" t="s">
        <v>37</v>
      </c>
      <c r="L326" s="2" t="s">
        <v>818</v>
      </c>
    </row>
    <row r="327" spans="1:12" ht="15" x14ac:dyDescent="0.25">
      <c r="A327" s="1" t="s">
        <v>819</v>
      </c>
      <c r="B327" s="1" t="s">
        <v>793</v>
      </c>
      <c r="D327" s="27" t="s">
        <v>820</v>
      </c>
      <c r="F327" s="1" t="s">
        <v>37</v>
      </c>
      <c r="G327" s="1" t="s">
        <v>37</v>
      </c>
      <c r="H327" s="1" t="s">
        <v>37</v>
      </c>
      <c r="I327" s="1" t="s">
        <v>37</v>
      </c>
      <c r="J327" s="1" t="s">
        <v>37</v>
      </c>
      <c r="K327" s="1" t="s">
        <v>37</v>
      </c>
      <c r="L327" s="2" t="s">
        <v>821</v>
      </c>
    </row>
    <row r="328" spans="1:12" ht="15" x14ac:dyDescent="0.25">
      <c r="A328" s="1" t="s">
        <v>822</v>
      </c>
      <c r="B328" s="1" t="s">
        <v>793</v>
      </c>
      <c r="D328" s="27" t="s">
        <v>823</v>
      </c>
      <c r="F328" s="1" t="s">
        <v>37</v>
      </c>
      <c r="G328" s="1" t="s">
        <v>37</v>
      </c>
      <c r="H328" s="1" t="s">
        <v>66</v>
      </c>
      <c r="I328" s="1" t="s">
        <v>37</v>
      </c>
      <c r="J328" s="1" t="s">
        <v>37</v>
      </c>
      <c r="K328" s="1" t="s">
        <v>37</v>
      </c>
      <c r="L328" s="2" t="s">
        <v>824</v>
      </c>
    </row>
    <row r="329" spans="1:12" ht="15" x14ac:dyDescent="0.25">
      <c r="A329" s="1" t="s">
        <v>825</v>
      </c>
      <c r="B329" s="1" t="s">
        <v>793</v>
      </c>
      <c r="D329" s="27" t="s">
        <v>826</v>
      </c>
      <c r="F329" s="1" t="s">
        <v>37</v>
      </c>
      <c r="G329" s="1" t="s">
        <v>37</v>
      </c>
      <c r="H329" s="1" t="s">
        <v>37</v>
      </c>
      <c r="I329" s="1" t="s">
        <v>37</v>
      </c>
      <c r="J329" s="1" t="s">
        <v>37</v>
      </c>
      <c r="K329" s="1" t="s">
        <v>37</v>
      </c>
      <c r="L329" s="2" t="s">
        <v>827</v>
      </c>
    </row>
    <row r="330" spans="1:12" ht="15" x14ac:dyDescent="0.25">
      <c r="A330" s="1" t="s">
        <v>828</v>
      </c>
      <c r="B330" s="1" t="s">
        <v>793</v>
      </c>
      <c r="D330" s="27" t="s">
        <v>829</v>
      </c>
      <c r="F330" s="1" t="s">
        <v>37</v>
      </c>
      <c r="G330" s="1" t="s">
        <v>37</v>
      </c>
      <c r="H330" s="1" t="s">
        <v>37</v>
      </c>
      <c r="I330" s="1" t="s">
        <v>37</v>
      </c>
      <c r="J330" s="1" t="s">
        <v>37</v>
      </c>
      <c r="K330" s="1" t="s">
        <v>37</v>
      </c>
      <c r="L330" s="2" t="s">
        <v>830</v>
      </c>
    </row>
    <row r="331" spans="1:12" ht="15" x14ac:dyDescent="0.25">
      <c r="A331" s="1" t="s">
        <v>831</v>
      </c>
      <c r="B331" s="1" t="s">
        <v>793</v>
      </c>
      <c r="D331" s="27" t="s">
        <v>832</v>
      </c>
      <c r="F331" s="1" t="s">
        <v>37</v>
      </c>
      <c r="G331" s="1" t="s">
        <v>37</v>
      </c>
      <c r="H331" s="1" t="s">
        <v>37</v>
      </c>
      <c r="I331" s="1" t="s">
        <v>37</v>
      </c>
      <c r="J331" s="1" t="s">
        <v>37</v>
      </c>
      <c r="K331" s="1" t="s">
        <v>37</v>
      </c>
      <c r="L331" s="2" t="s">
        <v>833</v>
      </c>
    </row>
    <row r="332" spans="1:12" x14ac:dyDescent="0.2">
      <c r="A332" s="1" t="s">
        <v>834</v>
      </c>
      <c r="B332" s="1" t="s">
        <v>793</v>
      </c>
      <c r="D332" s="6"/>
      <c r="F332" s="1" t="s">
        <v>37</v>
      </c>
      <c r="G332" s="1" t="s">
        <v>37</v>
      </c>
      <c r="H332" s="1" t="s">
        <v>37</v>
      </c>
      <c r="I332" s="1" t="s">
        <v>37</v>
      </c>
      <c r="J332" s="1" t="s">
        <v>37</v>
      </c>
      <c r="K332" s="1" t="s">
        <v>37</v>
      </c>
      <c r="L332" s="2" t="s">
        <v>835</v>
      </c>
    </row>
    <row r="333" spans="1:12" ht="15" x14ac:dyDescent="0.25">
      <c r="A333" s="1" t="s">
        <v>836</v>
      </c>
      <c r="B333" s="1" t="s">
        <v>793</v>
      </c>
      <c r="D333" s="27" t="s">
        <v>837</v>
      </c>
      <c r="F333" s="1" t="s">
        <v>37</v>
      </c>
      <c r="G333" s="1" t="s">
        <v>37</v>
      </c>
      <c r="H333" s="1" t="s">
        <v>37</v>
      </c>
      <c r="I333" s="1" t="s">
        <v>37</v>
      </c>
      <c r="J333" s="1" t="s">
        <v>37</v>
      </c>
      <c r="K333" s="1" t="s">
        <v>37</v>
      </c>
      <c r="L333" s="2" t="s">
        <v>838</v>
      </c>
    </row>
    <row r="334" spans="1:12" ht="15" x14ac:dyDescent="0.25">
      <c r="A334" s="1" t="s">
        <v>839</v>
      </c>
      <c r="B334" s="1" t="s">
        <v>793</v>
      </c>
      <c r="D334" s="27" t="s">
        <v>840</v>
      </c>
      <c r="F334" s="1" t="s">
        <v>37</v>
      </c>
      <c r="G334" s="1" t="s">
        <v>37</v>
      </c>
      <c r="H334" s="1" t="s">
        <v>37</v>
      </c>
      <c r="I334" s="1" t="s">
        <v>37</v>
      </c>
      <c r="J334" s="1" t="s">
        <v>37</v>
      </c>
      <c r="K334" s="1" t="s">
        <v>37</v>
      </c>
      <c r="L334" s="6"/>
    </row>
    <row r="335" spans="1:12" ht="15" x14ac:dyDescent="0.25">
      <c r="A335" s="1" t="s">
        <v>841</v>
      </c>
      <c r="B335" s="1" t="s">
        <v>793</v>
      </c>
      <c r="D335" s="27" t="s">
        <v>842</v>
      </c>
      <c r="F335" s="1" t="s">
        <v>37</v>
      </c>
      <c r="G335" s="1" t="s">
        <v>37</v>
      </c>
      <c r="H335" s="1" t="s">
        <v>37</v>
      </c>
      <c r="I335" s="1" t="s">
        <v>37</v>
      </c>
      <c r="J335" s="1" t="s">
        <v>37</v>
      </c>
      <c r="K335" s="1" t="s">
        <v>37</v>
      </c>
      <c r="L335" s="2" t="s">
        <v>843</v>
      </c>
    </row>
  </sheetData>
  <phoneticPr fontId="4" type="noConversion"/>
  <hyperlinks>
    <hyperlink ref="D68" r:id="rId1" xr:uid="{88147FAD-7060-40FC-8489-A71448DC4800}"/>
    <hyperlink ref="D69" r:id="rId2" xr:uid="{375FA52F-3972-45C0-A223-A1D3D9159C9D}"/>
    <hyperlink ref="D70" r:id="rId3" xr:uid="{C78F29B8-DAC2-4982-A786-B8FB127046EE}"/>
    <hyperlink ref="D71" r:id="rId4" xr:uid="{D37DDA6C-EC4E-4294-B390-B017AD1E3E7B}"/>
    <hyperlink ref="D72" r:id="rId5" xr:uid="{E5B3090E-5C61-49B9-A608-F29F549655CE}"/>
    <hyperlink ref="D73" r:id="rId6" xr:uid="{5D504D30-B14C-4EFF-A223-AFEE51203B58}"/>
    <hyperlink ref="D74" r:id="rId7" xr:uid="{B8AFD4DF-58C7-4414-ADEC-A54924E050B9}"/>
    <hyperlink ref="D75" r:id="rId8" xr:uid="{8F1C71C0-867C-4214-8522-4103EB85512E}"/>
    <hyperlink ref="D76" r:id="rId9" xr:uid="{92BEAD30-4015-4913-AB2A-1D7CB38F1AD8}"/>
    <hyperlink ref="D77" r:id="rId10" xr:uid="{6753B31D-92AC-477C-8B05-F19B157922F1}"/>
    <hyperlink ref="D78" r:id="rId11" xr:uid="{5B6A9386-A023-42FD-9369-19FCD3324E41}"/>
    <hyperlink ref="D79" r:id="rId12" xr:uid="{B0EC2B47-EB36-4316-9E64-4B34519B062D}"/>
    <hyperlink ref="D80" r:id="rId13" xr:uid="{346CE7A8-A1AA-407C-BCC5-D08AC6C207F0}"/>
    <hyperlink ref="D81" r:id="rId14" xr:uid="{A67FECAD-22DB-47B0-B88B-61B5F114EBE9}"/>
    <hyperlink ref="D82" r:id="rId15" xr:uid="{3715D83E-59D1-48A6-8FAC-9C34CFAF4105}"/>
    <hyperlink ref="D83" r:id="rId16" xr:uid="{B6F9DB75-638C-468C-B20E-361FE608916F}"/>
    <hyperlink ref="D84" r:id="rId17" xr:uid="{2DC640C0-3390-46B5-8BD9-90DBB51807E1}"/>
    <hyperlink ref="D85" r:id="rId18" xr:uid="{BBA1E8F2-F5FE-4D25-BC13-1E0ECD8557C0}"/>
    <hyperlink ref="D86" r:id="rId19" xr:uid="{79219715-305C-4B82-B50B-E647D2FD0334}"/>
    <hyperlink ref="D87" r:id="rId20" xr:uid="{6DCC49BB-12A3-4AD4-B0D5-F66A12C58E80}"/>
    <hyperlink ref="D89" r:id="rId21" xr:uid="{89C9A9DE-572B-4458-B43A-139F61D81725}"/>
    <hyperlink ref="D90" r:id="rId22" xr:uid="{4A97DED2-BB4F-4B1C-B894-A2B94143ACFB}"/>
    <hyperlink ref="D91" r:id="rId23" xr:uid="{C649646D-CC9A-4C95-B5B1-17737E881D44}"/>
    <hyperlink ref="D92" r:id="rId24" xr:uid="{345A6A75-9D40-4AF1-A3F3-44D145AC4E65}"/>
    <hyperlink ref="D93" r:id="rId25" xr:uid="{2E9C4897-5B53-40A4-94A1-C042736F2914}"/>
    <hyperlink ref="D94" r:id="rId26" xr:uid="{888F101D-6F3C-4B67-B3FB-02BD7B347301}"/>
    <hyperlink ref="D95" r:id="rId27" xr:uid="{F5B5A88F-A2FE-489D-BD45-9BF9A092A413}"/>
    <hyperlink ref="D96" r:id="rId28" xr:uid="{8030BB8B-D58E-447B-8272-6B13C48566E4}"/>
    <hyperlink ref="D97" r:id="rId29" xr:uid="{068004E2-F04B-4245-A827-3E6FFEF82716}"/>
    <hyperlink ref="D98" r:id="rId30" xr:uid="{2404CFCB-93E5-4E94-8DF7-18DD69937BE7}"/>
    <hyperlink ref="D99" r:id="rId31" xr:uid="{8685257A-62C0-47B3-B314-8544E2E8C853}"/>
    <hyperlink ref="D100" r:id="rId32" xr:uid="{EFBA8DDD-DAFF-4785-82BE-FD31CC5E8716}"/>
    <hyperlink ref="D101" r:id="rId33" xr:uid="{E3E6DC35-A1CD-4F95-A8DE-1C8FAA69D227}"/>
    <hyperlink ref="D102" r:id="rId34" xr:uid="{762E5BE2-D9D5-4264-A0B5-262284A12DD5}"/>
    <hyperlink ref="D104" r:id="rId35" xr:uid="{7B54D022-CECB-4517-84E0-F7DE98C0A09C}"/>
    <hyperlink ref="D106" r:id="rId36" xr:uid="{9B9E749B-67BE-43B7-8577-FB5145C92B82}"/>
    <hyperlink ref="D112" r:id="rId37" xr:uid="{E311E070-1C8F-4193-90E1-FA2E3796BDE9}"/>
    <hyperlink ref="D114" r:id="rId38" xr:uid="{1E4022DA-0ADC-4126-9A98-9A8B62C968AE}"/>
    <hyperlink ref="D115" r:id="rId39" xr:uid="{D8F0C8B3-4371-4EFA-8E58-24ECBC3FB5AA}"/>
    <hyperlink ref="D118" r:id="rId40" xr:uid="{DD91A205-1686-4D4F-A13B-3CCEF1CD0C72}"/>
    <hyperlink ref="D119" r:id="rId41" xr:uid="{8690C9AC-1D1B-412D-BC88-139FF34E8B57}"/>
    <hyperlink ref="D121" r:id="rId42" xr:uid="{BC35E9CD-C4F7-4FEB-AF9A-0792D7EE9BF4}"/>
    <hyperlink ref="D122" r:id="rId43" xr:uid="{640E9A37-706C-49BC-AB31-84ECEEA870D8}"/>
    <hyperlink ref="D124" r:id="rId44" xr:uid="{5AB89AC4-6626-4C0F-92E7-F3E70A162BE5}"/>
    <hyperlink ref="D127" r:id="rId45" xr:uid="{167469A4-892E-4D79-BEFF-356073C50F89}"/>
    <hyperlink ref="D128" r:id="rId46" xr:uid="{1652ACF1-243F-4C33-84D2-1B98F90C78FA}"/>
    <hyperlink ref="D130" r:id="rId47" xr:uid="{C1177C76-6048-410C-8776-AB7500024261}"/>
    <hyperlink ref="D131" r:id="rId48" xr:uid="{310F5B8C-65F6-4FAD-B364-D012AC6FAA93}"/>
    <hyperlink ref="D133" r:id="rId49" xr:uid="{614E272A-DCB9-4C7A-B70B-CACB3C9A1C55}"/>
    <hyperlink ref="D134" r:id="rId50" xr:uid="{FDE48486-46D7-4370-B402-1AC8817AC29B}"/>
    <hyperlink ref="D136" r:id="rId51" xr:uid="{875AD822-CFFB-48A8-B327-BDB2453E43CF}"/>
    <hyperlink ref="D138" r:id="rId52" xr:uid="{4076CFE7-48A9-429E-B33E-F8ABD13C6916}"/>
    <hyperlink ref="D139" r:id="rId53" xr:uid="{F99BACDD-42D7-4930-AD05-CC1C7D9B1965}"/>
    <hyperlink ref="D140" r:id="rId54" xr:uid="{45208730-4839-4916-9506-216FEC9E924A}"/>
    <hyperlink ref="D141" r:id="rId55" xr:uid="{D49B0FAB-C471-4A12-8C60-E39F9E6F0294}"/>
    <hyperlink ref="D142" r:id="rId56" xr:uid="{590700F7-1329-4E79-A220-AF44820B4EDD}"/>
    <hyperlink ref="D143" r:id="rId57" xr:uid="{3DD7F427-7815-4A37-A4EA-B518F1299E46}"/>
    <hyperlink ref="D153" r:id="rId58" xr:uid="{E4FA21AD-0568-49B5-B4C4-D0B7FD8B5D15}"/>
    <hyperlink ref="D154" r:id="rId59" xr:uid="{67C9E2BE-3CD5-4593-95CD-4DE20A5053DB}"/>
    <hyperlink ref="D156" r:id="rId60" xr:uid="{E06DF593-9EC2-4FAF-BDBA-7C8D8B177730}"/>
    <hyperlink ref="D157" r:id="rId61" xr:uid="{3DC3C7E9-DE24-4967-A8F6-A213665C9085}"/>
    <hyperlink ref="D158" r:id="rId62" xr:uid="{4EA20859-1387-4D5F-BCBD-E377B38D9E38}"/>
    <hyperlink ref="D159" r:id="rId63" xr:uid="{0DF3995F-2D2B-4C08-8F48-3CA73566B555}"/>
    <hyperlink ref="D161" r:id="rId64" xr:uid="{C3D548D4-4235-4607-BB79-FD5804E66490}"/>
    <hyperlink ref="D164" r:id="rId65" xr:uid="{68441050-C7F5-4A16-BB5B-52FF19EFDEE8}"/>
    <hyperlink ref="D168" r:id="rId66" xr:uid="{E28E8624-A995-4D89-BD86-C421143EFF10}"/>
    <hyperlink ref="D169" r:id="rId67" xr:uid="{1A93A264-6336-418D-92CE-93E50650E924}"/>
    <hyperlink ref="D170" r:id="rId68" xr:uid="{88AB0FE3-6FA4-4507-8936-51B96C21CA7C}"/>
    <hyperlink ref="D171" r:id="rId69" xr:uid="{4AE7CB89-AB09-46FA-AB1B-7B55F198B8EE}"/>
    <hyperlink ref="D172" r:id="rId70" xr:uid="{3929C6A6-CBDB-428C-B0F8-D624DEC76978}"/>
    <hyperlink ref="D173" r:id="rId71" xr:uid="{BA49C9DC-0050-45F1-8866-937A5EACB76A}"/>
    <hyperlink ref="D174" r:id="rId72" xr:uid="{5D29C0A9-BB12-418A-B5BE-42DBF3D4C2DD}"/>
    <hyperlink ref="D176" r:id="rId73" xr:uid="{6E2FD5FF-0D50-48A2-9D75-3A48FB4FE7D7}"/>
    <hyperlink ref="D181" r:id="rId74" xr:uid="{CC740379-967F-4FF7-8C0C-7377678C121B}"/>
    <hyperlink ref="D183" r:id="rId75" xr:uid="{C34ED3B4-12C5-4B4D-B581-F3F35E8AAB72}"/>
    <hyperlink ref="D185" r:id="rId76" xr:uid="{B6CAB65F-DCB4-4A03-9F37-57A1D7997A87}"/>
    <hyperlink ref="D186" r:id="rId77" xr:uid="{8430010B-F215-42B6-B1B0-4FC5D98A0C4F}"/>
    <hyperlink ref="D187" r:id="rId78" xr:uid="{B15109DF-9C22-4D1B-A711-F803329CC5B2}"/>
    <hyperlink ref="D189" r:id="rId79" xr:uid="{668423AD-271D-49D3-BCF2-58C508C5755A}"/>
    <hyperlink ref="D190" r:id="rId80" xr:uid="{1FF4DEAD-7147-4F35-8243-AC8FFB6DD114}"/>
    <hyperlink ref="D191" r:id="rId81" xr:uid="{BA9F6AF8-E3EC-454B-9DA1-D543229734F6}"/>
    <hyperlink ref="D192" r:id="rId82" xr:uid="{424AF87F-0278-4D5E-9CA4-B9E71C09BD55}"/>
    <hyperlink ref="D193" r:id="rId83" xr:uid="{0D311462-5602-44C7-9692-406BDB785712}"/>
    <hyperlink ref="D194" r:id="rId84" xr:uid="{A53831F2-5264-43A0-AFF5-1CF32A79086A}"/>
    <hyperlink ref="D195" r:id="rId85" xr:uid="{C408C9D4-03C5-4867-ABA6-263675531F27}"/>
    <hyperlink ref="D197" r:id="rId86" xr:uid="{2F4F0FEF-AA3C-49D6-B3BB-676AEEF25C85}"/>
    <hyperlink ref="D198" r:id="rId87" xr:uid="{87F08922-B822-4F8C-A230-3985F3670BE6}"/>
    <hyperlink ref="D199" r:id="rId88" xr:uid="{11BF6A49-7D65-40E9-BFC7-E185775840F7}"/>
    <hyperlink ref="D200" r:id="rId89" xr:uid="{CC05F041-DB10-4EC9-9AB6-37636A94A194}"/>
    <hyperlink ref="D201" r:id="rId90" xr:uid="{32000454-454C-4353-A0A5-7BE0FC3A81D5}"/>
    <hyperlink ref="D203" r:id="rId91" xr:uid="{C1B42EEF-0B46-44B6-9FBD-18A17107A2A0}"/>
    <hyperlink ref="D207" r:id="rId92" xr:uid="{B9FD9AD2-DE1D-45A0-B161-72241928484F}"/>
    <hyperlink ref="D209" r:id="rId93" xr:uid="{AC07C130-789F-4F17-9BA6-CFC2A13DFB31}"/>
    <hyperlink ref="D210" r:id="rId94" xr:uid="{25F67DC4-AABC-49AB-8053-3CFD63F30EA5}"/>
    <hyperlink ref="D212" r:id="rId95" xr:uid="{58F33A9F-17A0-4628-A058-EFF54C91163F}"/>
    <hyperlink ref="D217" r:id="rId96" xr:uid="{AC3D994C-B29B-401E-9C89-DA1FDC73B817}"/>
    <hyperlink ref="D222" r:id="rId97" xr:uid="{8A8C3C3B-4C95-44CC-BBF5-3D44720EA1FA}"/>
    <hyperlink ref="D223" r:id="rId98" xr:uid="{79A8E17A-B78B-4258-959D-74FAF641E978}"/>
    <hyperlink ref="D224" r:id="rId99" xr:uid="{B9B069C7-B1A6-4315-97E6-1EB69B652D21}"/>
    <hyperlink ref="D226" r:id="rId100" xr:uid="{01168EE3-0AE6-4A2F-AB46-0C164DD6B1D3}"/>
    <hyperlink ref="D227" r:id="rId101" xr:uid="{4C9FA123-DC44-48E2-A118-FB6A23602B8E}"/>
    <hyperlink ref="D231" r:id="rId102" xr:uid="{01717E08-A9A7-4C32-8E0D-873C09AFF137}"/>
    <hyperlink ref="D233" r:id="rId103" xr:uid="{0A7933D2-021F-4C2D-AA17-7A618693B08D}"/>
    <hyperlink ref="D234" r:id="rId104" xr:uid="{02BEC3A3-DE40-46AC-974C-6BC1D59346E0}"/>
    <hyperlink ref="D235" r:id="rId105" xr:uid="{91BE2E5A-D646-4829-A6F7-EA59B3263964}"/>
    <hyperlink ref="D236" r:id="rId106" xr:uid="{2F0DCB6B-2374-4603-8EEF-23ECC59B7F7A}"/>
    <hyperlink ref="D237" r:id="rId107" xr:uid="{8634B081-03FB-4428-98C0-F13D602FB3B7}"/>
    <hyperlink ref="D240" r:id="rId108" xr:uid="{45F5050C-4D91-4619-A21C-E3E2E12B9047}"/>
    <hyperlink ref="D241" r:id="rId109" xr:uid="{913FFD8A-54DA-4CAF-A4C4-3828A468E6B2}"/>
    <hyperlink ref="D243" r:id="rId110" xr:uid="{85C6710C-76FE-4EBA-8F3C-BA2D8D96356D}"/>
    <hyperlink ref="D244" r:id="rId111" xr:uid="{72D283A4-0946-4F81-A116-ABA2E35CF179}"/>
    <hyperlink ref="D245" r:id="rId112" xr:uid="{F55A6541-FC0D-49D0-8C68-7C83DE99CF23}"/>
    <hyperlink ref="D247" r:id="rId113" xr:uid="{85B4AE37-8E39-45A1-9A52-A1825B866588}"/>
    <hyperlink ref="D248" r:id="rId114" xr:uid="{E06E7161-8422-4CC7-9CC3-7349095F1C54}"/>
    <hyperlink ref="D249" r:id="rId115" xr:uid="{95CDE198-1576-4BE8-B194-6F77C88D1284}"/>
    <hyperlink ref="D250" r:id="rId116" xr:uid="{89432F08-30CB-4C76-B60F-B3B635B6CFE0}"/>
    <hyperlink ref="D256" r:id="rId117" xr:uid="{A7B171E8-03DD-4659-A327-66DBC5E0F5D3}"/>
    <hyperlink ref="D257" r:id="rId118" xr:uid="{F3F44AA2-5305-417E-B869-0542619FB47D}"/>
    <hyperlink ref="D258" r:id="rId119" xr:uid="{850D419D-332F-4FEB-A3C3-4EC675FC68BA}"/>
    <hyperlink ref="D261" r:id="rId120" xr:uid="{01CB47FF-49C9-48D3-BE49-9734DFD10B81}"/>
    <hyperlink ref="D262" r:id="rId121" xr:uid="{39D16308-6D3D-48BF-AD90-3C889B8C5720}"/>
    <hyperlink ref="D263" r:id="rId122" xr:uid="{4CB43EC4-DE73-40A4-A3B9-9FA39FF8854F}"/>
    <hyperlink ref="D265" r:id="rId123" xr:uid="{98C4263F-B07B-45E5-BA57-F24A45B1566F}"/>
    <hyperlink ref="D267" r:id="rId124" xr:uid="{7FB64038-E39C-437F-A3B0-360C8D1E319B}"/>
    <hyperlink ref="D268" r:id="rId125" xr:uid="{3C3C9D09-F3AC-4201-9FDB-8969495193A6}"/>
    <hyperlink ref="D271" r:id="rId126" xr:uid="{D3D65FAB-9435-4E4E-B58D-3F7BD9CF40DB}"/>
    <hyperlink ref="D276" r:id="rId127" xr:uid="{7E2B2104-948A-4D62-B77D-B0DD91706C27}"/>
    <hyperlink ref="D277" r:id="rId128" xr:uid="{4707F0CD-F1FE-4B5E-9735-1D36A29FC51C}"/>
    <hyperlink ref="D278" r:id="rId129" xr:uid="{C3385499-4070-4871-BC74-1A53B50B569A}"/>
    <hyperlink ref="D279" r:id="rId130" xr:uid="{22D4C599-D068-49D8-90A2-417C3E4204E7}"/>
    <hyperlink ref="D281" r:id="rId131" xr:uid="{92C5EA03-8C1B-43DE-AF50-76BF1512C4C6}"/>
    <hyperlink ref="D285" r:id="rId132" xr:uid="{D6A12D51-5DE5-408E-B7E6-C7E8332E51FA}"/>
    <hyperlink ref="D293" r:id="rId133" xr:uid="{8E92C693-971B-4143-8E32-10DC0F63D38C}"/>
    <hyperlink ref="D295" r:id="rId134" xr:uid="{45C3B364-0593-4595-ABA1-0F8CDEFE3CE4}"/>
    <hyperlink ref="D297" r:id="rId135" xr:uid="{C84CFD57-DEFA-4BC2-BBD5-514470551457}"/>
    <hyperlink ref="D298" r:id="rId136" xr:uid="{B98493EA-5250-4B05-BB6B-A8AA65B3D475}"/>
    <hyperlink ref="D299" r:id="rId137" xr:uid="{1DB8EEC2-97D0-4C31-A0D4-6C76FF7C5664}"/>
    <hyperlink ref="D300" r:id="rId138" xr:uid="{7B9F83B1-EE8E-467E-8D4D-002C78843040}"/>
    <hyperlink ref="D301" r:id="rId139" xr:uid="{B924A015-B4A2-48E7-AF90-3785C95007C9}"/>
    <hyperlink ref="D302" r:id="rId140" xr:uid="{75C31FCB-237F-460B-986B-00B2FFED6A1E}"/>
    <hyperlink ref="D303" r:id="rId141" xr:uid="{B8D11AE1-8EC9-4CA0-B048-01F845920638}"/>
    <hyperlink ref="D306" r:id="rId142" xr:uid="{E29E66B4-0DE6-47FC-B9F2-C887E2D3A4A6}"/>
    <hyperlink ref="D308" r:id="rId143" xr:uid="{990942A5-54D4-404A-93EB-2012F5BA98E1}"/>
    <hyperlink ref="D309" r:id="rId144" xr:uid="{73778074-27B1-4A30-99FE-1733A4403D0A}"/>
    <hyperlink ref="D310" r:id="rId145" xr:uid="{737A0C08-2B37-4923-9936-ABDCEF7B157E}"/>
    <hyperlink ref="D311" r:id="rId146" xr:uid="{43A41258-B33D-4120-AF33-1E7205AB63AA}"/>
    <hyperlink ref="D312" r:id="rId147" xr:uid="{16D4130B-89B4-4EF8-848E-2FC82817B96A}"/>
    <hyperlink ref="D313" r:id="rId148" xr:uid="{9EB9F68D-056F-47F4-B48D-59EB43734182}"/>
    <hyperlink ref="D314" r:id="rId149" xr:uid="{AE76E721-B9F6-4A66-8893-091DA81A2F30}"/>
    <hyperlink ref="D316" r:id="rId150" xr:uid="{A8F2307E-28A2-469A-8943-D04B76BB8908}"/>
    <hyperlink ref="D317" r:id="rId151" xr:uid="{75F182D1-C449-4E32-9051-1DBD9ADBF6DF}"/>
    <hyperlink ref="D318" r:id="rId152" xr:uid="{6D5BE146-C63A-4717-A144-A67708299C1B}"/>
    <hyperlink ref="D319" r:id="rId153" xr:uid="{A919D622-04B3-499A-AA69-5BB613DBD6EB}"/>
    <hyperlink ref="D320" r:id="rId154" xr:uid="{371A0E05-0374-4F72-9800-7C840410B709}"/>
    <hyperlink ref="D321" r:id="rId155" xr:uid="{C01191AA-B481-42AF-A1B5-31BCA26AE7CF}"/>
    <hyperlink ref="D324" r:id="rId156" xr:uid="{A142C867-9A90-4348-9E81-321957C5A122}"/>
    <hyperlink ref="D325" r:id="rId157" xr:uid="{5CCCF44C-8C3F-4448-A5CE-C95C9F3CE061}"/>
    <hyperlink ref="D327" r:id="rId158" xr:uid="{5E3C3727-52BB-433C-B945-407AF3829F96}"/>
    <hyperlink ref="D328" r:id="rId159" xr:uid="{0185D636-0F1A-4FDB-8E23-1036E805BED8}"/>
    <hyperlink ref="D329" r:id="rId160" xr:uid="{BD2FBF7A-F7B6-4ABD-BE5D-D7CC7DAB1163}"/>
    <hyperlink ref="D330" r:id="rId161" xr:uid="{A0EAFC68-00C9-4080-A559-B7B2F22B5B39}"/>
    <hyperlink ref="D331" r:id="rId162" xr:uid="{229DF6C9-6C81-4B52-8E4B-EF82E8FEBBBB}"/>
    <hyperlink ref="D333" r:id="rId163" xr:uid="{89324C71-2B95-440A-B810-491E7252AAFA}"/>
    <hyperlink ref="D334" r:id="rId164" xr:uid="{8316B247-9843-4FE8-95E5-5904F0499171}"/>
    <hyperlink ref="D335" r:id="rId165" xr:uid="{A6D0C54D-5D11-4F9E-9EF6-B3E255070940}"/>
  </hyperlinks>
  <pageMargins left="0.7" right="0.7" top="0.75" bottom="0.75" header="0.3" footer="0.3"/>
  <pageSetup paperSize="9" orientation="portrait" r:id="rId1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A8597-A4B9-4D92-A059-1B58A4AAB979}">
  <sheetPr>
    <tabColor rgb="FF92D050"/>
  </sheetPr>
  <dimension ref="A1:G30"/>
  <sheetViews>
    <sheetView zoomScaleNormal="100" workbookViewId="0"/>
  </sheetViews>
  <sheetFormatPr defaultColWidth="8.85546875" defaultRowHeight="12.75" x14ac:dyDescent="0.2"/>
  <cols>
    <col min="1" max="1" width="12.5703125" style="1" bestFit="1" customWidth="1"/>
    <col min="2" max="7" width="12.28515625" style="1" customWidth="1"/>
    <col min="8" max="8" width="10.42578125" style="1" bestFit="1" customWidth="1"/>
    <col min="9" max="9" width="20" style="1" bestFit="1" customWidth="1"/>
    <col min="10" max="10" width="17.7109375" style="1" bestFit="1" customWidth="1"/>
    <col min="11" max="11" width="10.7109375" style="1" bestFit="1" customWidth="1"/>
    <col min="12" max="16384" width="8.85546875" style="1"/>
  </cols>
  <sheetData>
    <row r="1" spans="1:7" s="2" customFormat="1" x14ac:dyDescent="0.2">
      <c r="A1" s="5"/>
      <c r="B1" s="5" t="s">
        <v>5</v>
      </c>
      <c r="C1" s="5" t="s">
        <v>6</v>
      </c>
      <c r="D1" s="5" t="s">
        <v>15</v>
      </c>
      <c r="E1" s="5" t="s">
        <v>7</v>
      </c>
      <c r="F1" s="5" t="s">
        <v>8</v>
      </c>
      <c r="G1" s="5" t="s">
        <v>9</v>
      </c>
    </row>
    <row r="2" spans="1:7" ht="6" customHeight="1" x14ac:dyDescent="0.2"/>
    <row r="3" spans="1:7" x14ac:dyDescent="0.2">
      <c r="A3" s="1" t="s">
        <v>1</v>
      </c>
      <c r="B3" s="1">
        <f>COUNTIF(Data!F3:F3289,$A$3)</f>
        <v>0</v>
      </c>
      <c r="C3" s="1">
        <f>COUNTIF(Data!G3:G3289,$A$3)</f>
        <v>0</v>
      </c>
      <c r="D3" s="1">
        <f>COUNTIF(Data!H3:H3289,$A$3)</f>
        <v>0</v>
      </c>
      <c r="E3" s="1">
        <f>COUNTIF(Data!I3:I3289,$A$3)</f>
        <v>0</v>
      </c>
      <c r="F3" s="1">
        <f>COUNTIF(Data!J3:J3289,$A$3)</f>
        <v>0</v>
      </c>
      <c r="G3" s="1">
        <f>COUNTIF(Data!K3:K3289,$A$3)</f>
        <v>0</v>
      </c>
    </row>
    <row r="4" spans="1:7" x14ac:dyDescent="0.2">
      <c r="A4" s="1" t="s">
        <v>2</v>
      </c>
      <c r="B4" s="1">
        <f>COUNTIF(Data!F3:F3289,$A$4)</f>
        <v>0</v>
      </c>
      <c r="C4" s="1">
        <f>COUNTIF(Data!G3:G3289,$A$4)</f>
        <v>2</v>
      </c>
      <c r="D4" s="1">
        <f>COUNTIF(Data!H3:H3289,$A$4)</f>
        <v>1</v>
      </c>
      <c r="E4" s="1">
        <f>COUNTIF(Data!I3:I3289,$A$4)</f>
        <v>0</v>
      </c>
      <c r="F4" s="1">
        <f>COUNTIF(Data!J3:J3289,$A$4)</f>
        <v>0</v>
      </c>
      <c r="G4" s="1">
        <f>COUNTIF(Data!K3:K3289,$A$4)</f>
        <v>0</v>
      </c>
    </row>
    <row r="5" spans="1:7" x14ac:dyDescent="0.2">
      <c r="A5" s="1" t="s">
        <v>3</v>
      </c>
      <c r="B5" s="1">
        <f>COUNTIF(Data!F3:F3289,$A$5)</f>
        <v>6</v>
      </c>
      <c r="C5" s="1">
        <f>COUNTIF(Data!G3:G3289,$A$5)</f>
        <v>48</v>
      </c>
      <c r="D5" s="1">
        <f>COUNTIF(Data!H3:H3289,$A$5)</f>
        <v>24</v>
      </c>
      <c r="E5" s="1">
        <f>COUNTIF(Data!I3:I3289,$A$5)</f>
        <v>4</v>
      </c>
      <c r="F5" s="1">
        <f>COUNTIF(Data!J3:J3289,$A$5)</f>
        <v>20</v>
      </c>
      <c r="G5" s="1">
        <f>COUNTIF(Data!K3:K3289,$A$5)</f>
        <v>13</v>
      </c>
    </row>
    <row r="6" spans="1:7" x14ac:dyDescent="0.2">
      <c r="A6" s="1" t="s">
        <v>4</v>
      </c>
      <c r="B6" s="1">
        <f>COUNTIF(Data!F3:F3289,$A$6)</f>
        <v>326</v>
      </c>
      <c r="C6" s="1">
        <f>COUNTIF(Data!G3:G3289,$A$6)</f>
        <v>281</v>
      </c>
      <c r="D6" s="1">
        <f>COUNTIF(Data!H3:H3289,$A$6)</f>
        <v>306</v>
      </c>
      <c r="E6" s="1">
        <f>COUNTIF(Data!I3:I3289,$A$6)</f>
        <v>328</v>
      </c>
      <c r="F6" s="1">
        <f>COUNTIF(Data!J3:J3289,$A$6)</f>
        <v>312</v>
      </c>
      <c r="G6" s="1">
        <f>COUNTIF(Data!K3:K3289,$A$6)</f>
        <v>319</v>
      </c>
    </row>
    <row r="7" spans="1:7" ht="6" customHeight="1" x14ac:dyDescent="0.2"/>
    <row r="8" spans="1:7" s="2" customFormat="1" x14ac:dyDescent="0.2">
      <c r="A8" s="3" t="s">
        <v>10</v>
      </c>
      <c r="B8" s="3">
        <f>SUM(B2:B7)</f>
        <v>332</v>
      </c>
      <c r="C8" s="3">
        <f t="shared" ref="C8:G8" si="0">SUM(C2:C7)</f>
        <v>331</v>
      </c>
      <c r="D8" s="3">
        <f t="shared" si="0"/>
        <v>331</v>
      </c>
      <c r="E8" s="3">
        <f t="shared" si="0"/>
        <v>332</v>
      </c>
      <c r="F8" s="3">
        <f t="shared" si="0"/>
        <v>332</v>
      </c>
      <c r="G8" s="3">
        <f t="shared" si="0"/>
        <v>332</v>
      </c>
    </row>
    <row r="9" spans="1:7" s="2" customFormat="1" x14ac:dyDescent="0.2"/>
    <row r="10" spans="1:7" ht="15" x14ac:dyDescent="0.25">
      <c r="E10"/>
      <c r="F10"/>
      <c r="G10"/>
    </row>
    <row r="11" spans="1:7" s="2" customFormat="1" x14ac:dyDescent="0.2">
      <c r="A11" s="5"/>
      <c r="B11" s="5" t="s">
        <v>5</v>
      </c>
      <c r="C11" s="5" t="s">
        <v>6</v>
      </c>
      <c r="D11" s="5" t="s">
        <v>15</v>
      </c>
      <c r="E11" s="5" t="s">
        <v>7</v>
      </c>
      <c r="F11" s="5" t="s">
        <v>8</v>
      </c>
      <c r="G11" s="5" t="s">
        <v>9</v>
      </c>
    </row>
    <row r="12" spans="1:7" ht="6" customHeight="1" x14ac:dyDescent="0.2"/>
    <row r="13" spans="1:7" x14ac:dyDescent="0.2">
      <c r="A13" s="1" t="s">
        <v>1</v>
      </c>
      <c r="B13" s="4">
        <f>B3/$B$8</f>
        <v>0</v>
      </c>
      <c r="C13" s="4">
        <f>C3/$C$8</f>
        <v>0</v>
      </c>
      <c r="D13" s="4">
        <f>D3/$D$8</f>
        <v>0</v>
      </c>
      <c r="E13" s="4">
        <f>E3/$E$8</f>
        <v>0</v>
      </c>
      <c r="F13" s="4">
        <f>F3/$F$8</f>
        <v>0</v>
      </c>
      <c r="G13" s="4">
        <f>G3/$G$8</f>
        <v>0</v>
      </c>
    </row>
    <row r="14" spans="1:7" x14ac:dyDescent="0.2">
      <c r="A14" s="1" t="s">
        <v>2</v>
      </c>
      <c r="B14" s="4">
        <f>B4/$B$8</f>
        <v>0</v>
      </c>
      <c r="C14" s="4">
        <f>C4/$C$8</f>
        <v>6.0422960725075529E-3</v>
      </c>
      <c r="D14" s="4">
        <f>D4/$D$8</f>
        <v>3.0211480362537764E-3</v>
      </c>
      <c r="E14" s="4">
        <f>E4/$E$8</f>
        <v>0</v>
      </c>
      <c r="F14" s="4">
        <f>F4/$F$8</f>
        <v>0</v>
      </c>
      <c r="G14" s="4">
        <f>G4/$G$8</f>
        <v>0</v>
      </c>
    </row>
    <row r="15" spans="1:7" x14ac:dyDescent="0.2">
      <c r="A15" s="1" t="s">
        <v>3</v>
      </c>
      <c r="B15" s="4">
        <f>B5/$B$8</f>
        <v>1.8072289156626505E-2</v>
      </c>
      <c r="C15" s="4">
        <f>C5/$C$8</f>
        <v>0.14501510574018128</v>
      </c>
      <c r="D15" s="4">
        <f>D5/$D$8</f>
        <v>7.2507552870090641E-2</v>
      </c>
      <c r="E15" s="4">
        <f>E5/$E$8</f>
        <v>1.2048192771084338E-2</v>
      </c>
      <c r="F15" s="4">
        <f>F5/$F$8</f>
        <v>6.0240963855421686E-2</v>
      </c>
      <c r="G15" s="4">
        <f>G5/$G$8</f>
        <v>3.9156626506024098E-2</v>
      </c>
    </row>
    <row r="16" spans="1:7" x14ac:dyDescent="0.2">
      <c r="A16" s="1" t="s">
        <v>4</v>
      </c>
      <c r="B16" s="4">
        <f>B6/$B$8</f>
        <v>0.98192771084337349</v>
      </c>
      <c r="C16" s="4">
        <f>C6/$C$8</f>
        <v>0.84894259818731121</v>
      </c>
      <c r="D16" s="4">
        <f>D6/$D$8</f>
        <v>0.92447129909365555</v>
      </c>
      <c r="E16" s="4">
        <f>E6/$E$8</f>
        <v>0.98795180722891562</v>
      </c>
      <c r="F16" s="4">
        <f>F6/$F$8</f>
        <v>0.93975903614457834</v>
      </c>
      <c r="G16" s="4">
        <f>G6/$G$8</f>
        <v>0.96084337349397586</v>
      </c>
    </row>
    <row r="17" spans="1:7" x14ac:dyDescent="0.2">
      <c r="A17" s="2"/>
      <c r="B17" s="21"/>
      <c r="C17" s="21"/>
      <c r="D17" s="21"/>
      <c r="E17" s="21"/>
      <c r="F17" s="21"/>
      <c r="G17" s="21"/>
    </row>
    <row r="22" spans="1:7" ht="15" x14ac:dyDescent="0.25">
      <c r="A22"/>
      <c r="B22"/>
      <c r="C22"/>
    </row>
    <row r="23" spans="1:7" ht="15" x14ac:dyDescent="0.25">
      <c r="A23"/>
      <c r="B23"/>
      <c r="C23"/>
    </row>
    <row r="24" spans="1:7" ht="15" x14ac:dyDescent="0.25">
      <c r="A24"/>
      <c r="B24"/>
      <c r="C24"/>
    </row>
    <row r="25" spans="1:7" ht="15" x14ac:dyDescent="0.25">
      <c r="A25"/>
      <c r="B25"/>
      <c r="C25"/>
    </row>
    <row r="26" spans="1:7" ht="15" x14ac:dyDescent="0.25">
      <c r="A26"/>
      <c r="B26"/>
      <c r="C26"/>
    </row>
    <row r="27" spans="1:7" ht="15" x14ac:dyDescent="0.25">
      <c r="A27"/>
      <c r="B27"/>
      <c r="C27"/>
    </row>
    <row r="28" spans="1:7" ht="15" x14ac:dyDescent="0.25">
      <c r="A28"/>
      <c r="B28"/>
      <c r="C28"/>
    </row>
    <row r="29" spans="1:7" ht="15" x14ac:dyDescent="0.25">
      <c r="A29"/>
      <c r="B29"/>
      <c r="C29"/>
    </row>
    <row r="30" spans="1:7" ht="15" x14ac:dyDescent="0.25">
      <c r="A30"/>
      <c r="B30"/>
      <c r="C30"/>
    </row>
  </sheetData>
  <pageMargins left="0.11811023622047245" right="0.11811023622047245" top="0.35433070866141736" bottom="0.35433070866141736" header="0.31496062992125984" footer="0.31496062992125984"/>
  <pageSetup paperSize="9" scale="8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6FD6-D401-461E-8D0C-1D75D75DFD03}">
  <dimension ref="A1:K57"/>
  <sheetViews>
    <sheetView workbookViewId="0">
      <pane ySplit="1" topLeftCell="A2" activePane="bottomLeft" state="frozen"/>
      <selection pane="bottomLeft" activeCell="J54" sqref="J54:J57"/>
    </sheetView>
  </sheetViews>
  <sheetFormatPr defaultRowHeight="15" x14ac:dyDescent="0.25"/>
  <cols>
    <col min="1" max="1" width="9.7109375" bestFit="1" customWidth="1"/>
    <col min="6" max="6" width="9.7109375" bestFit="1" customWidth="1"/>
    <col min="7" max="7" width="12.28515625" bestFit="1" customWidth="1"/>
    <col min="8" max="8" width="10.42578125" bestFit="1" customWidth="1"/>
  </cols>
  <sheetData>
    <row r="1" spans="1:8" x14ac:dyDescent="0.25">
      <c r="A1" s="5" t="s">
        <v>30</v>
      </c>
      <c r="B1" s="5" t="s">
        <v>31</v>
      </c>
      <c r="C1" s="5" t="s">
        <v>5</v>
      </c>
      <c r="D1" s="5" t="s">
        <v>6</v>
      </c>
      <c r="E1" s="5" t="s">
        <v>15</v>
      </c>
      <c r="F1" s="5" t="s">
        <v>7</v>
      </c>
      <c r="G1" s="5" t="s">
        <v>8</v>
      </c>
      <c r="H1" s="5" t="s">
        <v>9</v>
      </c>
    </row>
    <row r="2" spans="1:8" x14ac:dyDescent="0.25">
      <c r="A2" s="30" t="s">
        <v>29</v>
      </c>
      <c r="B2" s="1" t="s">
        <v>1</v>
      </c>
    </row>
    <row r="3" spans="1:8" x14ac:dyDescent="0.25">
      <c r="A3" s="30"/>
      <c r="B3" s="1" t="s">
        <v>2</v>
      </c>
    </row>
    <row r="4" spans="1:8" x14ac:dyDescent="0.25">
      <c r="A4" s="30"/>
      <c r="B4" s="1" t="s">
        <v>3</v>
      </c>
    </row>
    <row r="5" spans="1:8" x14ac:dyDescent="0.25">
      <c r="A5" s="30"/>
      <c r="B5" s="1" t="s">
        <v>4</v>
      </c>
    </row>
    <row r="6" spans="1:8" x14ac:dyDescent="0.25">
      <c r="A6" s="30" t="s">
        <v>23</v>
      </c>
      <c r="B6" s="1" t="s">
        <v>1</v>
      </c>
    </row>
    <row r="7" spans="1:8" x14ac:dyDescent="0.25">
      <c r="A7" s="30"/>
      <c r="B7" s="1" t="s">
        <v>2</v>
      </c>
    </row>
    <row r="8" spans="1:8" x14ac:dyDescent="0.25">
      <c r="A8" s="30"/>
      <c r="B8" s="1" t="s">
        <v>3</v>
      </c>
    </row>
    <row r="9" spans="1:8" x14ac:dyDescent="0.25">
      <c r="A9" s="30"/>
      <c r="B9" s="1" t="s">
        <v>4</v>
      </c>
    </row>
    <row r="10" spans="1:8" x14ac:dyDescent="0.25">
      <c r="A10" s="30" t="s">
        <v>24</v>
      </c>
      <c r="B10" s="1" t="s">
        <v>1</v>
      </c>
    </row>
    <row r="11" spans="1:8" x14ac:dyDescent="0.25">
      <c r="A11" s="30"/>
      <c r="B11" s="1" t="s">
        <v>2</v>
      </c>
    </row>
    <row r="12" spans="1:8" x14ac:dyDescent="0.25">
      <c r="A12" s="30"/>
      <c r="B12" s="1" t="s">
        <v>3</v>
      </c>
    </row>
    <row r="13" spans="1:8" x14ac:dyDescent="0.25">
      <c r="A13" s="30"/>
      <c r="B13" s="1" t="s">
        <v>4</v>
      </c>
    </row>
    <row r="14" spans="1:8" x14ac:dyDescent="0.25">
      <c r="A14" s="30" t="s">
        <v>25</v>
      </c>
      <c r="B14" s="1" t="s">
        <v>1</v>
      </c>
    </row>
    <row r="15" spans="1:8" x14ac:dyDescent="0.25">
      <c r="A15" s="30"/>
      <c r="B15" s="1" t="s">
        <v>2</v>
      </c>
    </row>
    <row r="16" spans="1:8" x14ac:dyDescent="0.25">
      <c r="A16" s="30"/>
      <c r="B16" s="1" t="s">
        <v>3</v>
      </c>
    </row>
    <row r="17" spans="1:8" x14ac:dyDescent="0.25">
      <c r="A17" s="30"/>
      <c r="B17" s="1" t="s">
        <v>4</v>
      </c>
    </row>
    <row r="18" spans="1:8" x14ac:dyDescent="0.25">
      <c r="A18" s="30" t="s">
        <v>20</v>
      </c>
      <c r="B18" s="1" t="s">
        <v>1</v>
      </c>
      <c r="C18">
        <f>COUNTIF(Data!$F$4:$F$4,Sheet1!$B$18)</f>
        <v>0</v>
      </c>
      <c r="D18">
        <f>COUNTIF(Data!$G$4:$G$4,Sheet1!$B$18)</f>
        <v>0</v>
      </c>
      <c r="E18">
        <f>COUNTIF(Data!$H$4:$H$4,Sheet1!$B$18)</f>
        <v>0</v>
      </c>
      <c r="F18">
        <f>COUNTIF(Data!$I$4:$I$4,Sheet1!$B$18)</f>
        <v>0</v>
      </c>
      <c r="G18">
        <f>COUNTIF(Data!$J$4:$J$4,Sheet1!$B$18)</f>
        <v>0</v>
      </c>
      <c r="H18">
        <f>COUNTIF(Data!$K$4:$K$4,Sheet1!$B$18)</f>
        <v>0</v>
      </c>
    </row>
    <row r="19" spans="1:8" x14ac:dyDescent="0.25">
      <c r="A19" s="30"/>
      <c r="B19" s="1" t="s">
        <v>2</v>
      </c>
      <c r="C19">
        <f>COUNTIF(Data!$F$4:$F$4,Sheet1!$B$19)</f>
        <v>0</v>
      </c>
      <c r="D19">
        <f>COUNTIF(Data!$G$4:$G$4,Sheet1!$B$19)</f>
        <v>0</v>
      </c>
      <c r="E19">
        <f>COUNTIF(Data!$H$4:$H$4,Sheet1!$B$19)</f>
        <v>0</v>
      </c>
      <c r="F19">
        <f>COUNTIF(Data!$I$4:$I$4,Sheet1!$B$19)</f>
        <v>0</v>
      </c>
      <c r="G19">
        <f>COUNTIF(Data!$J$4:$J$4,Sheet1!$B$19)</f>
        <v>0</v>
      </c>
      <c r="H19">
        <f>COUNTIF(Data!$K$4:$K$4,Sheet1!$B$19)</f>
        <v>0</v>
      </c>
    </row>
    <row r="20" spans="1:8" x14ac:dyDescent="0.25">
      <c r="A20" s="30"/>
      <c r="B20" s="1" t="s">
        <v>3</v>
      </c>
      <c r="C20">
        <f>COUNTIF(Data!$F$4:$F$4,Sheet1!$B$20)</f>
        <v>0</v>
      </c>
      <c r="D20">
        <f>COUNTIF(Data!$G$4:$G$4,Sheet1!$B$20)</f>
        <v>0</v>
      </c>
      <c r="E20">
        <f>COUNTIF(Data!$H$4:$H$4,Sheet1!$B$20)</f>
        <v>0</v>
      </c>
      <c r="F20">
        <f>COUNTIF(Data!$I$4:$I$4,Sheet1!$B$20)</f>
        <v>0</v>
      </c>
      <c r="G20">
        <f>COUNTIF(Data!$J$4:$J$4,Sheet1!$B$20)</f>
        <v>0</v>
      </c>
      <c r="H20">
        <f>COUNTIF(Data!$K$4:$K$4,Sheet1!$B$20)</f>
        <v>0</v>
      </c>
    </row>
    <row r="21" spans="1:8" x14ac:dyDescent="0.25">
      <c r="A21" s="30"/>
      <c r="B21" s="1" t="s">
        <v>4</v>
      </c>
      <c r="C21">
        <f>COUNTIF(Data!$F$4:$F$4,Sheet1!$B$21)</f>
        <v>1</v>
      </c>
      <c r="D21">
        <f>COUNTIF(Data!$G$4:$G$4,Sheet1!$B$21)</f>
        <v>1</v>
      </c>
      <c r="E21">
        <f>COUNTIF(Data!$H$4:$H$4,Sheet1!$B$21)</f>
        <v>1</v>
      </c>
      <c r="F21">
        <f>COUNTIF(Data!$I$4:$I$4,Sheet1!$B$21)</f>
        <v>1</v>
      </c>
      <c r="G21">
        <f>COUNTIF(Data!$J$4:$J$4,Sheet1!$B$21)</f>
        <v>1</v>
      </c>
      <c r="H21">
        <f>COUNTIF(Data!$K$4:$K$4,Sheet1!$B$21)</f>
        <v>1</v>
      </c>
    </row>
    <row r="22" spans="1:8" x14ac:dyDescent="0.25">
      <c r="A22" s="30" t="s">
        <v>19</v>
      </c>
      <c r="B22" s="1" t="s">
        <v>1</v>
      </c>
      <c r="C22">
        <f>COUNTIF(Data!$F$5:$F$51,Sheet1!$B$22)</f>
        <v>0</v>
      </c>
      <c r="D22">
        <f>COUNTIF(Data!$G$5:$G$51,Sheet1!$B$22)</f>
        <v>0</v>
      </c>
      <c r="E22">
        <f>COUNTIF(Data!$H$5:$H$51,Sheet1!$B$22)</f>
        <v>0</v>
      </c>
      <c r="F22">
        <f>COUNTIF(Data!$I$5:$I$51,Sheet1!$B$22)</f>
        <v>0</v>
      </c>
      <c r="G22">
        <f>COUNTIF(Data!$J$5:$J$51,Sheet1!$B$22)</f>
        <v>0</v>
      </c>
      <c r="H22">
        <f>COUNTIF(Data!$K$5:$K$51,Sheet1!$B$22)</f>
        <v>0</v>
      </c>
    </row>
    <row r="23" spans="1:8" x14ac:dyDescent="0.25">
      <c r="A23" s="30"/>
      <c r="B23" s="1" t="s">
        <v>2</v>
      </c>
      <c r="C23">
        <f>COUNTIF(Data!$F$5:$F$51,Sheet1!$B$23)</f>
        <v>0</v>
      </c>
      <c r="D23">
        <f>COUNTIF(Data!$G$5:$G$51,Sheet1!$B$23)</f>
        <v>1</v>
      </c>
      <c r="E23">
        <f>COUNTIF(Data!$H$5:$H$51,Sheet1!$B$23)</f>
        <v>0</v>
      </c>
      <c r="F23">
        <f>COUNTIF(Data!$I$5:$I$51,Sheet1!$B$23)</f>
        <v>0</v>
      </c>
      <c r="G23">
        <f>COUNTIF(Data!$J$5:$J$51,Sheet1!$B$23)</f>
        <v>0</v>
      </c>
      <c r="H23">
        <f>COUNTIF(Data!$K$5:$K$51,Sheet1!$B$23)</f>
        <v>0</v>
      </c>
    </row>
    <row r="24" spans="1:8" x14ac:dyDescent="0.25">
      <c r="A24" s="30"/>
      <c r="B24" s="1" t="s">
        <v>3</v>
      </c>
      <c r="C24">
        <f>COUNTIF(Data!$F$5:$F$51,Sheet1!$B$24)</f>
        <v>0</v>
      </c>
      <c r="D24">
        <f>COUNTIF(Data!$G$5:$G$51,Sheet1!$B$24)</f>
        <v>8</v>
      </c>
      <c r="E24">
        <f>COUNTIF(Data!$H$5:$H$51,Sheet1!$B$24)</f>
        <v>2</v>
      </c>
      <c r="F24">
        <f>COUNTIF(Data!$I$5:$I$51,Sheet1!$B$24)</f>
        <v>0</v>
      </c>
      <c r="G24">
        <f>COUNTIF(Data!$J$5:$J$51,Sheet1!$B$24)</f>
        <v>1</v>
      </c>
      <c r="H24">
        <f>COUNTIF(Data!$K$5:$K$51,Sheet1!$B$24)</f>
        <v>0</v>
      </c>
    </row>
    <row r="25" spans="1:8" x14ac:dyDescent="0.25">
      <c r="A25" s="30"/>
      <c r="B25" s="1" t="s">
        <v>4</v>
      </c>
      <c r="C25">
        <f>COUNTIF(Data!$F$5:$F$51,Sheet1!$B$25)</f>
        <v>47</v>
      </c>
      <c r="D25">
        <f>COUNTIF(Data!$G$5:$G$51,Sheet1!$B$25)</f>
        <v>38</v>
      </c>
      <c r="E25">
        <f>COUNTIF(Data!$H$5:$H$51,Sheet1!$B$25)</f>
        <v>45</v>
      </c>
      <c r="F25">
        <f>COUNTIF(Data!$I$5:$I$51,Sheet1!$B$25)</f>
        <v>47</v>
      </c>
      <c r="G25">
        <f>COUNTIF(Data!$J$5:$J$51,Sheet1!$B$25)</f>
        <v>46</v>
      </c>
      <c r="H25">
        <f>COUNTIF(Data!$K$5:$K$51,Sheet1!$B$25)</f>
        <v>47</v>
      </c>
    </row>
    <row r="26" spans="1:8" x14ac:dyDescent="0.25">
      <c r="A26" s="30" t="s">
        <v>18</v>
      </c>
      <c r="B26" s="1" t="s">
        <v>1</v>
      </c>
      <c r="C26">
        <f>COUNTIF(Data!$F$52:$F$108,Sheet1!$B$26)</f>
        <v>0</v>
      </c>
      <c r="D26">
        <f>COUNTIF(Data!$G$52:$G$108,Sheet1!$B$26)</f>
        <v>0</v>
      </c>
      <c r="E26">
        <f>COUNTIF(Data!$H$52:$H$108,Sheet1!$B$26)</f>
        <v>0</v>
      </c>
      <c r="F26">
        <f>COUNTIF(Data!$I$52:$I$108,Sheet1!$B$26)</f>
        <v>0</v>
      </c>
      <c r="G26">
        <f>COUNTIF(Data!$J$52:$J$108,Sheet1!$B$26)</f>
        <v>0</v>
      </c>
      <c r="H26">
        <f>COUNTIF(Data!$K$52:$K$108,Sheet1!$B$26)</f>
        <v>0</v>
      </c>
    </row>
    <row r="27" spans="1:8" x14ac:dyDescent="0.25">
      <c r="A27" s="30"/>
      <c r="B27" s="1" t="s">
        <v>2</v>
      </c>
      <c r="C27">
        <f>COUNTIF(Data!$F$52:$F$108,Sheet1!$B$27)</f>
        <v>0</v>
      </c>
      <c r="D27">
        <f>COUNTIF(Data!$G$52:$G$108,Sheet1!$B$27)</f>
        <v>0</v>
      </c>
      <c r="E27">
        <f>COUNTIF(Data!$H$52:$H$108,Sheet1!$B$27)</f>
        <v>0</v>
      </c>
      <c r="F27">
        <f>COUNTIF(Data!$I$52:$I$108,Sheet1!$B$27)</f>
        <v>0</v>
      </c>
      <c r="G27">
        <f>COUNTIF(Data!$J$52:$J$108,Sheet1!$B$27)</f>
        <v>0</v>
      </c>
      <c r="H27">
        <f>COUNTIF(Data!$K$52:$K$108,Sheet1!$B$27)</f>
        <v>0</v>
      </c>
    </row>
    <row r="28" spans="1:8" x14ac:dyDescent="0.25">
      <c r="A28" s="30"/>
      <c r="B28" s="1" t="s">
        <v>3</v>
      </c>
      <c r="C28">
        <f>COUNTIF(Data!$F$52:$F$108,Sheet1!$B$28)</f>
        <v>0</v>
      </c>
      <c r="D28">
        <f>COUNTIF(Data!$G$52:$G$108,Sheet1!$B$28)</f>
        <v>6</v>
      </c>
      <c r="E28">
        <f>COUNTIF(Data!$H$52:$H$108,Sheet1!$B$28)</f>
        <v>1</v>
      </c>
      <c r="F28">
        <f>COUNTIF(Data!$I$52:$I$108,Sheet1!$B$28)</f>
        <v>0</v>
      </c>
      <c r="G28">
        <f>COUNTIF(Data!$J$52:$J$108,Sheet1!$B$28)</f>
        <v>3</v>
      </c>
      <c r="H28">
        <f>COUNTIF(Data!$K$52:$K$108,Sheet1!$B$28)</f>
        <v>1</v>
      </c>
    </row>
    <row r="29" spans="1:8" x14ac:dyDescent="0.25">
      <c r="A29" s="30"/>
      <c r="B29" s="1" t="s">
        <v>4</v>
      </c>
      <c r="C29">
        <f>COUNTIF(Data!$F$52:$F$108,Sheet1!$B$29)</f>
        <v>57</v>
      </c>
      <c r="D29">
        <f>COUNTIF(Data!$G$52:$G$108,Sheet1!$B$29)</f>
        <v>51</v>
      </c>
      <c r="E29">
        <f>COUNTIF(Data!$H$52:$H$108,Sheet1!$B$29)</f>
        <v>56</v>
      </c>
      <c r="F29">
        <f>COUNTIF(Data!$I$52:$I$108,Sheet1!$B$29)</f>
        <v>57</v>
      </c>
      <c r="G29">
        <f>COUNTIF(Data!$J$52:$J$108,Sheet1!$B$29)</f>
        <v>54</v>
      </c>
      <c r="H29">
        <f>COUNTIF(Data!$K$52:$K$108,Sheet1!$B$29)</f>
        <v>56</v>
      </c>
    </row>
    <row r="30" spans="1:8" x14ac:dyDescent="0.25">
      <c r="A30" s="30" t="s">
        <v>17</v>
      </c>
      <c r="B30" s="1" t="s">
        <v>1</v>
      </c>
      <c r="C30" t="e">
        <f>COUNTIF(Data!#REF!,Sheet1!$B$30)</f>
        <v>#REF!</v>
      </c>
      <c r="D30" t="e">
        <f>COUNTIF(Data!#REF!,Sheet1!$B$30)</f>
        <v>#REF!</v>
      </c>
      <c r="E30" t="e">
        <f>COUNTIF(Data!#REF!,Sheet1!$B$30)</f>
        <v>#REF!</v>
      </c>
      <c r="F30" t="e">
        <f>COUNTIF(Data!#REF!,Sheet1!$B$30)</f>
        <v>#REF!</v>
      </c>
      <c r="G30" t="e">
        <f>COUNTIF(Data!#REF!,Sheet1!$B$30)</f>
        <v>#REF!</v>
      </c>
      <c r="H30" t="e">
        <f>COUNTIF(Data!#REF!,Sheet1!$B$30)</f>
        <v>#REF!</v>
      </c>
    </row>
    <row r="31" spans="1:8" x14ac:dyDescent="0.25">
      <c r="A31" s="30"/>
      <c r="B31" s="1" t="s">
        <v>2</v>
      </c>
      <c r="C31" t="e">
        <f>COUNTIF(Data!#REF!,Sheet1!$B$31)</f>
        <v>#REF!</v>
      </c>
      <c r="D31" t="e">
        <f>COUNTIF(Data!#REF!,Sheet1!$B$31)</f>
        <v>#REF!</v>
      </c>
      <c r="E31" t="e">
        <f>COUNTIF(Data!#REF!,Sheet1!$B$31)</f>
        <v>#REF!</v>
      </c>
      <c r="F31" t="e">
        <f>COUNTIF(Data!#REF!,Sheet1!$B$31)</f>
        <v>#REF!</v>
      </c>
      <c r="G31" t="e">
        <f>COUNTIF(Data!#REF!,Sheet1!$B$31)</f>
        <v>#REF!</v>
      </c>
      <c r="H31" t="e">
        <f>COUNTIF(Data!#REF!,Sheet1!$B$31)</f>
        <v>#REF!</v>
      </c>
    </row>
    <row r="32" spans="1:8" x14ac:dyDescent="0.25">
      <c r="A32" s="30"/>
      <c r="B32" s="1" t="s">
        <v>3</v>
      </c>
      <c r="C32" t="e">
        <f>COUNTIF(Data!#REF!,Sheet1!$B$32)</f>
        <v>#REF!</v>
      </c>
      <c r="D32" t="e">
        <f>COUNTIF(Data!#REF!,Sheet1!$B$32)</f>
        <v>#REF!</v>
      </c>
      <c r="E32" t="e">
        <f>COUNTIF(Data!#REF!,Sheet1!$B$32)</f>
        <v>#REF!</v>
      </c>
      <c r="F32" t="e">
        <f>COUNTIF(Data!#REF!,Sheet1!$B$32)</f>
        <v>#REF!</v>
      </c>
      <c r="G32" t="e">
        <f>COUNTIF(Data!#REF!,Sheet1!$B$32)</f>
        <v>#REF!</v>
      </c>
      <c r="H32" t="e">
        <f>COUNTIF(Data!#REF!,Sheet1!$B$32)</f>
        <v>#REF!</v>
      </c>
    </row>
    <row r="33" spans="1:8" x14ac:dyDescent="0.25">
      <c r="A33" s="30"/>
      <c r="B33" s="1" t="s">
        <v>4</v>
      </c>
      <c r="C33" t="e">
        <f>COUNTIF(Data!#REF!,Sheet1!$B$33)</f>
        <v>#REF!</v>
      </c>
      <c r="D33" t="e">
        <f>COUNTIF(Data!#REF!,Sheet1!$B$33)</f>
        <v>#REF!</v>
      </c>
      <c r="E33" t="e">
        <f>COUNTIF(Data!#REF!,Sheet1!$B$33)</f>
        <v>#REF!</v>
      </c>
      <c r="F33" t="e">
        <f>COUNTIF(Data!#REF!,Sheet1!$B$33)</f>
        <v>#REF!</v>
      </c>
      <c r="G33" t="e">
        <f>COUNTIF(Data!#REF!,Sheet1!$B$33)</f>
        <v>#REF!</v>
      </c>
      <c r="H33" t="e">
        <f>COUNTIF(Data!#REF!,Sheet1!$B$33)</f>
        <v>#REF!</v>
      </c>
    </row>
    <row r="34" spans="1:8" x14ac:dyDescent="0.25">
      <c r="A34" s="31" t="s">
        <v>16</v>
      </c>
      <c r="B34" s="1" t="s">
        <v>1</v>
      </c>
      <c r="C34" t="e">
        <f>COUNTIF(Data!#REF!,Sheet1!$B$34)</f>
        <v>#REF!</v>
      </c>
      <c r="D34" t="e">
        <f>COUNTIF(Data!#REF!,Sheet1!$B$34)</f>
        <v>#REF!</v>
      </c>
      <c r="E34" t="e">
        <f>COUNTIF(Data!#REF!,Sheet1!$B$34)</f>
        <v>#REF!</v>
      </c>
      <c r="F34" t="e">
        <f>COUNTIF(Data!#REF!,Sheet1!$B$34)</f>
        <v>#REF!</v>
      </c>
      <c r="G34" t="e">
        <f>COUNTIF(Data!#REF!,Sheet1!$B$34)</f>
        <v>#REF!</v>
      </c>
      <c r="H34" t="e">
        <f>COUNTIF(Data!#REF!,Sheet1!$B$34)</f>
        <v>#REF!</v>
      </c>
    </row>
    <row r="35" spans="1:8" x14ac:dyDescent="0.25">
      <c r="A35" s="31"/>
      <c r="B35" s="1" t="s">
        <v>2</v>
      </c>
      <c r="C35" t="e">
        <f>COUNTIF(Data!#REF!,Sheet1!$B$35)</f>
        <v>#REF!</v>
      </c>
      <c r="D35" t="e">
        <f>COUNTIF(Data!#REF!,Sheet1!$B$35)</f>
        <v>#REF!</v>
      </c>
      <c r="E35" t="e">
        <f>COUNTIF(Data!#REF!,Sheet1!$B$35)</f>
        <v>#REF!</v>
      </c>
      <c r="F35" t="e">
        <f>COUNTIF(Data!#REF!,Sheet1!$B$35)</f>
        <v>#REF!</v>
      </c>
      <c r="G35" t="e">
        <f>COUNTIF(Data!#REF!,Sheet1!$B$35)</f>
        <v>#REF!</v>
      </c>
      <c r="H35" t="e">
        <f>COUNTIF(Data!#REF!,Sheet1!$B$35)</f>
        <v>#REF!</v>
      </c>
    </row>
    <row r="36" spans="1:8" x14ac:dyDescent="0.25">
      <c r="A36" s="31"/>
      <c r="B36" s="1" t="s">
        <v>3</v>
      </c>
      <c r="C36" t="e">
        <f>COUNTIF(Data!#REF!,Sheet1!$B$36)</f>
        <v>#REF!</v>
      </c>
      <c r="D36" t="e">
        <f>COUNTIF(Data!#REF!,Sheet1!$B$36)</f>
        <v>#REF!</v>
      </c>
      <c r="E36" t="e">
        <f>COUNTIF(Data!#REF!,Sheet1!$B$36)</f>
        <v>#REF!</v>
      </c>
      <c r="F36" t="e">
        <f>COUNTIF(Data!#REF!,Sheet1!$B$36)</f>
        <v>#REF!</v>
      </c>
      <c r="G36" t="e">
        <f>COUNTIF(Data!#REF!,Sheet1!$B$36)</f>
        <v>#REF!</v>
      </c>
      <c r="H36" t="e">
        <f>COUNTIF(Data!#REF!,Sheet1!$B$36)</f>
        <v>#REF!</v>
      </c>
    </row>
    <row r="37" spans="1:8" x14ac:dyDescent="0.25">
      <c r="A37" s="31"/>
      <c r="B37" s="1" t="s">
        <v>4</v>
      </c>
      <c r="C37" t="e">
        <f>COUNTIF(Data!#REF!,Sheet1!$B$37)</f>
        <v>#REF!</v>
      </c>
      <c r="D37" t="e">
        <f>COUNTIF(Data!#REF!,Sheet1!$B$37)</f>
        <v>#REF!</v>
      </c>
      <c r="E37" t="e">
        <f>COUNTIF(Data!#REF!,Sheet1!$B$37)</f>
        <v>#REF!</v>
      </c>
      <c r="F37" t="e">
        <f>COUNTIF(Data!#REF!,Sheet1!$B$37)</f>
        <v>#REF!</v>
      </c>
      <c r="G37" t="e">
        <f>COUNTIF(Data!#REF!,Sheet1!$B$37)</f>
        <v>#REF!</v>
      </c>
      <c r="H37" t="e">
        <f>COUNTIF(Data!#REF!,Sheet1!$B$37)</f>
        <v>#REF!</v>
      </c>
    </row>
    <row r="38" spans="1:8" x14ac:dyDescent="0.25">
      <c r="A38" s="30" t="s">
        <v>22</v>
      </c>
      <c r="B38" s="1" t="s">
        <v>1</v>
      </c>
      <c r="C38" t="e">
        <f>COUNTIF(Data!#REF!,Sheet1!$B$38)</f>
        <v>#REF!</v>
      </c>
      <c r="D38" t="e">
        <f>COUNTIF(Data!#REF!,Sheet1!$B$38)</f>
        <v>#REF!</v>
      </c>
      <c r="E38" t="e">
        <f>COUNTIF(Data!#REF!,Sheet1!$B$38)</f>
        <v>#REF!</v>
      </c>
      <c r="F38" t="e">
        <f>COUNTIF(Data!#REF!,Sheet1!$B$38)</f>
        <v>#REF!</v>
      </c>
      <c r="G38" t="e">
        <f>COUNTIF(Data!#REF!,Sheet1!$B$38)</f>
        <v>#REF!</v>
      </c>
      <c r="H38" t="e">
        <f>COUNTIF(Data!#REF!,Sheet1!$B$38)</f>
        <v>#REF!</v>
      </c>
    </row>
    <row r="39" spans="1:8" x14ac:dyDescent="0.25">
      <c r="A39" s="30"/>
      <c r="B39" s="1" t="s">
        <v>2</v>
      </c>
      <c r="C39" t="e">
        <f>COUNTIF(Data!#REF!,Sheet1!$B$39)</f>
        <v>#REF!</v>
      </c>
      <c r="D39" t="e">
        <f>COUNTIF(Data!#REF!,Sheet1!$B$39)</f>
        <v>#REF!</v>
      </c>
      <c r="E39" t="e">
        <f>COUNTIF(Data!#REF!,Sheet1!$B$39)</f>
        <v>#REF!</v>
      </c>
      <c r="F39" t="e">
        <f>COUNTIF(Data!#REF!,Sheet1!$B$39)</f>
        <v>#REF!</v>
      </c>
      <c r="G39" t="e">
        <f>COUNTIF(Data!#REF!,Sheet1!$B$39)</f>
        <v>#REF!</v>
      </c>
      <c r="H39" t="e">
        <f>COUNTIF(Data!#REF!,Sheet1!$B$39)</f>
        <v>#REF!</v>
      </c>
    </row>
    <row r="40" spans="1:8" x14ac:dyDescent="0.25">
      <c r="A40" s="30"/>
      <c r="B40" s="1" t="s">
        <v>3</v>
      </c>
      <c r="C40" t="e">
        <f>COUNTIF(Data!#REF!,Sheet1!$B$40)</f>
        <v>#REF!</v>
      </c>
      <c r="D40" t="e">
        <f>COUNTIF(Data!#REF!,Sheet1!$B$40)</f>
        <v>#REF!</v>
      </c>
      <c r="E40" t="e">
        <f>COUNTIF(Data!#REF!,Sheet1!$B$40)</f>
        <v>#REF!</v>
      </c>
      <c r="F40" t="e">
        <f>COUNTIF(Data!#REF!,Sheet1!$B$40)</f>
        <v>#REF!</v>
      </c>
      <c r="G40" t="e">
        <f>COUNTIF(Data!#REF!,Sheet1!$B$40)</f>
        <v>#REF!</v>
      </c>
      <c r="H40" t="e">
        <f>COUNTIF(Data!#REF!,Sheet1!$B$40)</f>
        <v>#REF!</v>
      </c>
    </row>
    <row r="41" spans="1:8" x14ac:dyDescent="0.25">
      <c r="A41" s="30"/>
      <c r="B41" s="1" t="s">
        <v>4</v>
      </c>
      <c r="C41" t="e">
        <f>COUNTIF(Data!#REF!,Sheet1!$B$41)</f>
        <v>#REF!</v>
      </c>
      <c r="D41" t="e">
        <f>COUNTIF(Data!#REF!,Sheet1!$B$41)</f>
        <v>#REF!</v>
      </c>
      <c r="E41" t="e">
        <f>COUNTIF(Data!#REF!,Sheet1!$B$41)</f>
        <v>#REF!</v>
      </c>
      <c r="F41" t="e">
        <f>COUNTIF(Data!#REF!,Sheet1!$B$41)</f>
        <v>#REF!</v>
      </c>
      <c r="G41" t="e">
        <f>COUNTIF(Data!#REF!,Sheet1!$B$41)</f>
        <v>#REF!</v>
      </c>
      <c r="H41" t="e">
        <f>COUNTIF(Data!#REF!,Sheet1!$B$41)</f>
        <v>#REF!</v>
      </c>
    </row>
    <row r="42" spans="1:8" x14ac:dyDescent="0.25">
      <c r="A42" s="30" t="s">
        <v>26</v>
      </c>
      <c r="B42" s="1" t="s">
        <v>1</v>
      </c>
    </row>
    <row r="43" spans="1:8" x14ac:dyDescent="0.25">
      <c r="A43" s="30"/>
      <c r="B43" s="1" t="s">
        <v>2</v>
      </c>
    </row>
    <row r="44" spans="1:8" x14ac:dyDescent="0.25">
      <c r="A44" s="30"/>
      <c r="B44" s="1" t="s">
        <v>3</v>
      </c>
    </row>
    <row r="45" spans="1:8" x14ac:dyDescent="0.25">
      <c r="A45" s="30"/>
      <c r="B45" s="1" t="s">
        <v>4</v>
      </c>
    </row>
    <row r="46" spans="1:8" x14ac:dyDescent="0.25">
      <c r="A46" s="30" t="s">
        <v>27</v>
      </c>
      <c r="B46" s="1" t="s">
        <v>1</v>
      </c>
    </row>
    <row r="47" spans="1:8" x14ac:dyDescent="0.25">
      <c r="A47" s="30"/>
      <c r="B47" s="1" t="s">
        <v>2</v>
      </c>
    </row>
    <row r="48" spans="1:8" x14ac:dyDescent="0.25">
      <c r="A48" s="30"/>
      <c r="B48" s="1" t="s">
        <v>3</v>
      </c>
    </row>
    <row r="49" spans="1:11" x14ac:dyDescent="0.25">
      <c r="A49" s="30"/>
      <c r="B49" s="1" t="s">
        <v>4</v>
      </c>
    </row>
    <row r="51" spans="1:11" x14ac:dyDescent="0.25">
      <c r="C51" t="e">
        <f>SUM(C2:C50)</f>
        <v>#REF!</v>
      </c>
      <c r="D51" t="e">
        <f t="shared" ref="D51:H51" si="0">SUM(D2:D50)</f>
        <v>#REF!</v>
      </c>
      <c r="E51" t="e">
        <f t="shared" si="0"/>
        <v>#REF!</v>
      </c>
      <c r="F51" t="e">
        <f t="shared" si="0"/>
        <v>#REF!</v>
      </c>
      <c r="G51" t="e">
        <f t="shared" si="0"/>
        <v>#REF!</v>
      </c>
      <c r="H51" t="e">
        <f t="shared" si="0"/>
        <v>#REF!</v>
      </c>
    </row>
    <row r="54" spans="1:11" x14ac:dyDescent="0.25">
      <c r="B54" s="1" t="s">
        <v>1</v>
      </c>
      <c r="C54" t="e">
        <f>C2+C6+C10+C14+C18+C22+C26+C30+C34+C38+C42+C46</f>
        <v>#REF!</v>
      </c>
      <c r="D54" t="e">
        <f t="shared" ref="D54:H54" si="1">D2+D6+D10+D14+D18+D22+D26+D30+D34+D38+D42+D46</f>
        <v>#REF!</v>
      </c>
      <c r="E54" t="e">
        <f t="shared" si="1"/>
        <v>#REF!</v>
      </c>
      <c r="F54" t="e">
        <f t="shared" si="1"/>
        <v>#REF!</v>
      </c>
      <c r="G54" t="e">
        <f t="shared" si="1"/>
        <v>#REF!</v>
      </c>
      <c r="H54" t="e">
        <f t="shared" si="1"/>
        <v>#REF!</v>
      </c>
      <c r="I54" t="e">
        <f>SUM(C54:H54)</f>
        <v>#REF!</v>
      </c>
      <c r="J54">
        <f>Summary!H3</f>
        <v>0</v>
      </c>
      <c r="K54" s="7" t="e">
        <f>I54-J54</f>
        <v>#REF!</v>
      </c>
    </row>
    <row r="55" spans="1:11" x14ac:dyDescent="0.25">
      <c r="B55" s="1" t="s">
        <v>2</v>
      </c>
      <c r="C55" t="e">
        <f t="shared" ref="C55:H55" si="2">C3+C7+C11+C15+C19+C23+C27+C31+C35+C39+C43+C47</f>
        <v>#REF!</v>
      </c>
      <c r="D55" t="e">
        <f>D3+D7+D11+D15+D19+D23+D27+D31+D35+D39+D43+D47</f>
        <v>#REF!</v>
      </c>
      <c r="E55" t="e">
        <f t="shared" si="2"/>
        <v>#REF!</v>
      </c>
      <c r="F55" t="e">
        <f t="shared" si="2"/>
        <v>#REF!</v>
      </c>
      <c r="G55" t="e">
        <f t="shared" si="2"/>
        <v>#REF!</v>
      </c>
      <c r="H55" t="e">
        <f t="shared" si="2"/>
        <v>#REF!</v>
      </c>
      <c r="I55" t="e">
        <f t="shared" ref="I55:I57" si="3">SUM(C55:H55)</f>
        <v>#REF!</v>
      </c>
      <c r="J55">
        <f>Summary!H4</f>
        <v>0</v>
      </c>
      <c r="K55" s="7" t="e">
        <f t="shared" ref="K55:K57" si="4">I55-J55</f>
        <v>#REF!</v>
      </c>
    </row>
    <row r="56" spans="1:11" x14ac:dyDescent="0.25">
      <c r="B56" s="1" t="s">
        <v>3</v>
      </c>
      <c r="C56" t="e">
        <f>C4+C8+C12+C16+C20+C24+C28+C32+C36+C40+C44+C48</f>
        <v>#REF!</v>
      </c>
      <c r="D56" t="e">
        <f>D4+D8+D12+D16+D20+D24+D28+D32+D36+D40+D44+D48</f>
        <v>#REF!</v>
      </c>
      <c r="E56" t="e">
        <f>E4+E8+E12+E16+E20+E24+E28+E32+E36+E40+E44+E48</f>
        <v>#REF!</v>
      </c>
      <c r="F56" t="e">
        <f>F4+F8+F12+F16+F20+F24+F28+F32+F36+F40+F44+F48</f>
        <v>#REF!</v>
      </c>
      <c r="G56" t="e">
        <f>G4+G8+G12+G16+G20+G24+G28+G32+G36+G40+G44+G48</f>
        <v>#REF!</v>
      </c>
      <c r="H56" t="e">
        <f>H4+H8+H12+H16+H20+H24+H28+H32+H36+H40+H44+H48</f>
        <v>#REF!</v>
      </c>
      <c r="I56" t="e">
        <f t="shared" si="3"/>
        <v>#REF!</v>
      </c>
      <c r="J56">
        <f>Summary!H5</f>
        <v>0</v>
      </c>
      <c r="K56" s="7" t="e">
        <f t="shared" si="4"/>
        <v>#REF!</v>
      </c>
    </row>
    <row r="57" spans="1:11" x14ac:dyDescent="0.25">
      <c r="B57" s="1" t="s">
        <v>4</v>
      </c>
      <c r="C57" t="e">
        <f>C5+C9+C13+C17+C21+C25+C29+C33+C37+C41+C45+C49</f>
        <v>#REF!</v>
      </c>
      <c r="D57" t="e">
        <f t="shared" ref="D57:H57" si="5">D5+D9+D13+D17+D21+D25+D29+D33+D37+D41+D45+D49</f>
        <v>#REF!</v>
      </c>
      <c r="E57" t="e">
        <f t="shared" si="5"/>
        <v>#REF!</v>
      </c>
      <c r="F57" t="e">
        <f t="shared" si="5"/>
        <v>#REF!</v>
      </c>
      <c r="G57" t="e">
        <f t="shared" si="5"/>
        <v>#REF!</v>
      </c>
      <c r="H57" t="e">
        <f t="shared" si="5"/>
        <v>#REF!</v>
      </c>
      <c r="I57" t="e">
        <f t="shared" si="3"/>
        <v>#REF!</v>
      </c>
      <c r="J57">
        <f>Summary!H6</f>
        <v>0</v>
      </c>
      <c r="K57" s="7" t="e">
        <f t="shared" si="4"/>
        <v>#REF!</v>
      </c>
    </row>
  </sheetData>
  <mergeCells count="12">
    <mergeCell ref="A42:A45"/>
    <mergeCell ref="A46:A49"/>
    <mergeCell ref="A2:A5"/>
    <mergeCell ref="A6:A9"/>
    <mergeCell ref="A10:A13"/>
    <mergeCell ref="A14:A17"/>
    <mergeCell ref="A38:A41"/>
    <mergeCell ref="A34:A37"/>
    <mergeCell ref="A30:A33"/>
    <mergeCell ref="A26:A29"/>
    <mergeCell ref="A22:A25"/>
    <mergeCell ref="A18:A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EFF1-E8E5-4AA4-8DD6-C66E3535E5BF}">
  <sheetPr>
    <tabColor rgb="FFFFC000"/>
  </sheetPr>
  <dimension ref="A1:AL45"/>
  <sheetViews>
    <sheetView workbookViewId="0">
      <pane ySplit="1" topLeftCell="A2" activePane="bottomLeft" state="frozen"/>
      <selection pane="bottomLeft" activeCell="J24" sqref="J24"/>
    </sheetView>
  </sheetViews>
  <sheetFormatPr defaultRowHeight="15" x14ac:dyDescent="0.25"/>
  <cols>
    <col min="1" max="1" width="9.7109375" bestFit="1" customWidth="1"/>
    <col min="6" max="7" width="13.7109375" customWidth="1"/>
    <col min="8" max="8" width="10.28515625" customWidth="1"/>
    <col min="13" max="13" width="9.7109375" bestFit="1" customWidth="1"/>
    <col min="22" max="22" width="9.7109375" bestFit="1" customWidth="1"/>
    <col min="23" max="27" width="9.7109375" customWidth="1"/>
    <col min="28" max="28" width="12.28515625" bestFit="1" customWidth="1"/>
    <col min="29" max="34" width="12.28515625" customWidth="1"/>
    <col min="35" max="35" width="10.42578125" bestFit="1" customWidth="1"/>
  </cols>
  <sheetData>
    <row r="1" spans="1:38" ht="51.75" x14ac:dyDescent="0.25">
      <c r="A1" s="5" t="s">
        <v>30</v>
      </c>
      <c r="B1" s="32" t="s">
        <v>5</v>
      </c>
      <c r="C1" s="32"/>
      <c r="D1" s="32"/>
      <c r="E1" s="32"/>
      <c r="F1" s="8"/>
      <c r="G1" s="8"/>
      <c r="H1" s="32" t="s">
        <v>6</v>
      </c>
      <c r="I1" s="32"/>
      <c r="J1" s="32"/>
      <c r="K1" s="32"/>
      <c r="L1" s="8"/>
      <c r="M1" s="8"/>
      <c r="N1" s="32" t="s">
        <v>15</v>
      </c>
      <c r="O1" s="32"/>
      <c r="P1" s="32"/>
      <c r="Q1" s="32"/>
      <c r="R1" s="8"/>
      <c r="S1" s="8"/>
      <c r="T1" s="32" t="s">
        <v>7</v>
      </c>
      <c r="U1" s="32"/>
      <c r="V1" s="32"/>
      <c r="W1" s="32"/>
      <c r="X1" s="8"/>
      <c r="Y1" s="8"/>
      <c r="Z1" s="32" t="s">
        <v>8</v>
      </c>
      <c r="AA1" s="32"/>
      <c r="AB1" s="32"/>
      <c r="AC1" s="32"/>
      <c r="AD1" s="8"/>
      <c r="AE1" s="8"/>
      <c r="AF1" s="8"/>
      <c r="AG1" s="32" t="s">
        <v>9</v>
      </c>
      <c r="AH1" s="32"/>
      <c r="AI1" s="32"/>
      <c r="AJ1" s="32"/>
      <c r="AK1" s="8"/>
      <c r="AL1" s="13" t="s">
        <v>32</v>
      </c>
    </row>
    <row r="2" spans="1:38" s="10" customFormat="1" x14ac:dyDescent="0.25">
      <c r="B2" s="2" t="s">
        <v>1</v>
      </c>
      <c r="C2" s="2" t="s">
        <v>2</v>
      </c>
      <c r="D2" s="2" t="s">
        <v>3</v>
      </c>
      <c r="E2" s="2" t="s">
        <v>4</v>
      </c>
      <c r="F2" s="2"/>
      <c r="G2" s="2"/>
      <c r="H2" s="2" t="s">
        <v>1</v>
      </c>
      <c r="I2" s="2" t="s">
        <v>2</v>
      </c>
      <c r="J2" s="2" t="s">
        <v>3</v>
      </c>
      <c r="K2" s="2" t="s">
        <v>4</v>
      </c>
      <c r="L2" s="2"/>
      <c r="M2" s="2"/>
      <c r="N2" s="2" t="s">
        <v>1</v>
      </c>
      <c r="O2" s="2" t="s">
        <v>2</v>
      </c>
      <c r="P2" s="2" t="s">
        <v>3</v>
      </c>
      <c r="Q2" s="2" t="s">
        <v>4</v>
      </c>
      <c r="R2" s="2"/>
      <c r="S2" s="2"/>
      <c r="T2" s="2" t="s">
        <v>1</v>
      </c>
      <c r="U2" s="2" t="s">
        <v>2</v>
      </c>
      <c r="V2" s="2" t="s">
        <v>3</v>
      </c>
      <c r="W2" s="2" t="s">
        <v>4</v>
      </c>
      <c r="X2" s="2"/>
      <c r="Y2" s="2"/>
      <c r="Z2" s="2" t="s">
        <v>1</v>
      </c>
      <c r="AA2" s="2" t="s">
        <v>2</v>
      </c>
      <c r="AB2" s="2" t="s">
        <v>3</v>
      </c>
      <c r="AC2" s="2" t="s">
        <v>4</v>
      </c>
      <c r="AD2" s="2"/>
      <c r="AE2" s="2"/>
      <c r="AF2" s="2"/>
      <c r="AG2" s="2" t="s">
        <v>1</v>
      </c>
      <c r="AH2" s="2" t="s">
        <v>2</v>
      </c>
      <c r="AI2" s="2" t="s">
        <v>3</v>
      </c>
      <c r="AJ2" s="2" t="s">
        <v>4</v>
      </c>
      <c r="AK2" s="2"/>
      <c r="AL2" s="2"/>
    </row>
    <row r="3" spans="1:38" s="10" customFormat="1" x14ac:dyDescent="0.25">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row>
    <row r="4" spans="1:38" x14ac:dyDescent="0.25">
      <c r="A4" s="9" t="s">
        <v>29</v>
      </c>
      <c r="B4" s="11"/>
      <c r="C4" s="11"/>
      <c r="D4" s="12"/>
      <c r="E4" s="12"/>
      <c r="F4" s="12"/>
      <c r="G4" s="9" t="s">
        <v>29</v>
      </c>
      <c r="M4" s="9" t="s">
        <v>29</v>
      </c>
      <c r="N4" s="12"/>
      <c r="O4" s="12"/>
      <c r="P4" s="12"/>
      <c r="Q4" s="12"/>
      <c r="R4" s="14"/>
      <c r="S4" s="9" t="s">
        <v>29</v>
      </c>
      <c r="Y4" s="9" t="s">
        <v>29</v>
      </c>
      <c r="Z4" s="12"/>
      <c r="AA4" s="12"/>
      <c r="AB4" s="12"/>
      <c r="AC4" s="12"/>
      <c r="AD4" s="12"/>
      <c r="AE4" s="12"/>
      <c r="AF4" s="9" t="s">
        <v>29</v>
      </c>
      <c r="AG4" s="9"/>
    </row>
    <row r="5" spans="1:38" x14ac:dyDescent="0.25">
      <c r="A5" s="9" t="s">
        <v>23</v>
      </c>
      <c r="B5" s="11"/>
      <c r="C5" s="11"/>
      <c r="D5" s="12"/>
      <c r="E5" s="12"/>
      <c r="F5" s="12"/>
      <c r="G5" s="9" t="s">
        <v>23</v>
      </c>
      <c r="M5" s="9" t="s">
        <v>23</v>
      </c>
      <c r="N5" s="12"/>
      <c r="O5" s="12"/>
      <c r="P5" s="12"/>
      <c r="Q5" s="12"/>
      <c r="R5" s="14"/>
      <c r="S5" s="9" t="s">
        <v>23</v>
      </c>
      <c r="Y5" s="9" t="s">
        <v>23</v>
      </c>
      <c r="Z5" s="12"/>
      <c r="AA5" s="12"/>
      <c r="AB5" s="12"/>
      <c r="AC5" s="12"/>
      <c r="AD5" s="12"/>
      <c r="AE5" s="12"/>
      <c r="AF5" s="9" t="s">
        <v>23</v>
      </c>
      <c r="AG5" s="9"/>
    </row>
    <row r="6" spans="1:38" x14ac:dyDescent="0.25">
      <c r="A6" s="9" t="s">
        <v>24</v>
      </c>
      <c r="B6" s="11"/>
      <c r="C6" s="11"/>
      <c r="D6" s="12"/>
      <c r="E6" s="12"/>
      <c r="F6" s="12"/>
      <c r="G6" s="9" t="s">
        <v>24</v>
      </c>
      <c r="M6" s="9" t="s">
        <v>24</v>
      </c>
      <c r="N6" s="12"/>
      <c r="O6" s="12"/>
      <c r="P6" s="12"/>
      <c r="Q6" s="12"/>
      <c r="R6" s="14"/>
      <c r="S6" s="9" t="s">
        <v>24</v>
      </c>
      <c r="Y6" s="9" t="s">
        <v>24</v>
      </c>
      <c r="Z6" s="12"/>
      <c r="AA6" s="12"/>
      <c r="AB6" s="12"/>
      <c r="AC6" s="12"/>
      <c r="AD6" s="12"/>
      <c r="AE6" s="12"/>
      <c r="AF6" s="9" t="s">
        <v>24</v>
      </c>
      <c r="AG6" s="9"/>
    </row>
    <row r="7" spans="1:38" x14ac:dyDescent="0.25">
      <c r="A7" s="9" t="s">
        <v>25</v>
      </c>
      <c r="B7" s="12"/>
      <c r="C7" s="12"/>
      <c r="D7" s="12"/>
      <c r="E7" s="12"/>
      <c r="F7" s="12"/>
      <c r="G7" s="9" t="s">
        <v>25</v>
      </c>
      <c r="M7" s="9" t="s">
        <v>25</v>
      </c>
      <c r="N7" s="12"/>
      <c r="O7" s="12"/>
      <c r="P7" s="12"/>
      <c r="Q7" s="12"/>
      <c r="R7" s="14"/>
      <c r="S7" s="9" t="s">
        <v>25</v>
      </c>
      <c r="Y7" s="9" t="s">
        <v>25</v>
      </c>
      <c r="Z7" s="12"/>
      <c r="AA7" s="12"/>
      <c r="AB7" s="12"/>
      <c r="AC7" s="12"/>
      <c r="AD7" s="12"/>
      <c r="AE7" s="12"/>
      <c r="AF7" s="9" t="s">
        <v>25</v>
      </c>
      <c r="AG7" s="9"/>
    </row>
    <row r="8" spans="1:38" x14ac:dyDescent="0.25">
      <c r="A8" s="9" t="s">
        <v>20</v>
      </c>
      <c r="B8" s="12">
        <f>COUNTIF(Data!$F$4:$F$4,$B$2)</f>
        <v>0</v>
      </c>
      <c r="C8" s="12">
        <f>COUNTIF(Data!$F$4:$F$4,$C$2)</f>
        <v>0</v>
      </c>
      <c r="D8" s="12">
        <f>COUNTIF(Data!$F$4:$F$4,$D$2)</f>
        <v>0</v>
      </c>
      <c r="E8" s="12">
        <f>COUNTIF(Data!$F$4:$F$4,$E$2)</f>
        <v>1</v>
      </c>
      <c r="F8" s="22">
        <f>SUM(B8:E8)</f>
        <v>1</v>
      </c>
      <c r="G8" s="9" t="s">
        <v>20</v>
      </c>
      <c r="H8">
        <f>COUNTIF(Data!$G$4:$G$4,$H$2)</f>
        <v>0</v>
      </c>
      <c r="I8">
        <f>COUNTIF(Data!$G$4:$G$4,$I$2)</f>
        <v>0</v>
      </c>
      <c r="J8">
        <f>COUNTIF(Data!$G$4:$G$4,$J$2)</f>
        <v>0</v>
      </c>
      <c r="K8">
        <f>COUNTIF(Data!$G$4:$G$4,$K$2)</f>
        <v>1</v>
      </c>
      <c r="L8" s="23">
        <f t="shared" ref="L8:L13" si="0">SUM(H8:K8)</f>
        <v>1</v>
      </c>
      <c r="M8" s="9" t="s">
        <v>20</v>
      </c>
      <c r="N8" s="12">
        <f>COUNTIF(Data!$H$4:$H$4,$N$2)</f>
        <v>0</v>
      </c>
      <c r="O8" s="12">
        <f>COUNTIF(Data!$H$4:$H$4,$O$2)</f>
        <v>0</v>
      </c>
      <c r="P8" s="12">
        <f>COUNTIF(Data!$H$4:$H$4,$P$2)</f>
        <v>0</v>
      </c>
      <c r="Q8" s="12">
        <f>COUNTIF(Data!$H$4:$H$4,$Q$2)</f>
        <v>1</v>
      </c>
      <c r="R8" s="22">
        <f t="shared" ref="R8:R13" si="1">SUM(N8:Q8)</f>
        <v>1</v>
      </c>
      <c r="S8" s="9" t="s">
        <v>20</v>
      </c>
      <c r="T8">
        <f>COUNTIF(Data!$I$4:$I$4,$T$2)</f>
        <v>0</v>
      </c>
      <c r="U8">
        <f>COUNTIF(Data!$I$4:$I$4,$U$2)</f>
        <v>0</v>
      </c>
      <c r="V8">
        <f>COUNTIF(Data!$I$4:$I$4,$V$2)</f>
        <v>0</v>
      </c>
      <c r="W8">
        <f>COUNTIF(Data!$I$4:$I$4,$W$2)</f>
        <v>1</v>
      </c>
      <c r="X8" s="23">
        <f t="shared" ref="X8:X13" si="2">SUM(T8:W8)</f>
        <v>1</v>
      </c>
      <c r="Y8" s="9" t="s">
        <v>20</v>
      </c>
      <c r="Z8" s="12">
        <f>COUNTIF(Data!$J$4:$J$4,$Z$2)</f>
        <v>0</v>
      </c>
      <c r="AA8" s="12">
        <f>COUNTIF(Data!$J$4:$J$4,$AA$2)</f>
        <v>0</v>
      </c>
      <c r="AB8" s="12">
        <f>COUNTIF(Data!$J$4:$J$4,$AB$2)</f>
        <v>0</v>
      </c>
      <c r="AC8" s="12">
        <f>COUNTIF(Data!$J$4:$J$4,$AC$2)</f>
        <v>1</v>
      </c>
      <c r="AD8" s="22">
        <f t="shared" ref="AD8:AD13" si="3">SUM(Z8:AC8)</f>
        <v>1</v>
      </c>
      <c r="AE8" s="22"/>
      <c r="AF8" s="9" t="s">
        <v>20</v>
      </c>
      <c r="AG8">
        <f>COUNTIF(Data!$K$4:$K$4,$AG$2)</f>
        <v>0</v>
      </c>
      <c r="AH8">
        <f>COUNTIF(Data!$K$4:$K$4,$AH$2)</f>
        <v>0</v>
      </c>
      <c r="AI8">
        <f>COUNTIF(Data!$K$4:$K$4,$AI$2)</f>
        <v>0</v>
      </c>
      <c r="AJ8">
        <f>COUNTIF(Data!$K$4:$K$4,$AJ$2)</f>
        <v>1</v>
      </c>
      <c r="AK8" s="23">
        <f t="shared" ref="AK8:AK13" si="4">SUM(AG8:AJ8)</f>
        <v>1</v>
      </c>
      <c r="AL8">
        <f>COUNTA(Data!A4)</f>
        <v>1</v>
      </c>
    </row>
    <row r="9" spans="1:38" x14ac:dyDescent="0.25">
      <c r="A9" s="9" t="s">
        <v>19</v>
      </c>
      <c r="B9" s="12">
        <f>COUNTIF(Data!$F$5:$F$51,$B$2)</f>
        <v>0</v>
      </c>
      <c r="C9" s="12">
        <f>COUNTIF(Data!$F$5:$F$51,$C$2)</f>
        <v>0</v>
      </c>
      <c r="D9" s="12">
        <f>COUNTIF(Data!$F$5:$F$51,$D$2)</f>
        <v>0</v>
      </c>
      <c r="E9" s="12">
        <f>COUNTIF(Data!$F$5:$F$51,$E$2)</f>
        <v>47</v>
      </c>
      <c r="F9" s="22">
        <f t="shared" ref="F9:F13" si="5">SUM(B9:E9)</f>
        <v>47</v>
      </c>
      <c r="G9" s="9" t="s">
        <v>19</v>
      </c>
      <c r="H9">
        <f>COUNTIF(Data!$G$5:$G$51,$H$2)</f>
        <v>0</v>
      </c>
      <c r="I9">
        <f>COUNTIF(Data!$G$5:$G$51,$I$2)</f>
        <v>1</v>
      </c>
      <c r="J9">
        <f>COUNTIF(Data!$G$5:$G$51,$J$2)</f>
        <v>8</v>
      </c>
      <c r="K9">
        <f>COUNTIF(Data!$G$5:$G$51,$K$2)</f>
        <v>38</v>
      </c>
      <c r="L9" s="23">
        <f t="shared" si="0"/>
        <v>47</v>
      </c>
      <c r="M9" s="9" t="s">
        <v>19</v>
      </c>
      <c r="N9" s="12">
        <f>COUNTIF(Data!$H$5:$H$51,$N$2)</f>
        <v>0</v>
      </c>
      <c r="O9" s="12">
        <f>COUNTIF(Data!$H$5:$H$51,$O$2)</f>
        <v>0</v>
      </c>
      <c r="P9" s="12">
        <f>COUNTIF(Data!$H$5:$H$51,$P$2)</f>
        <v>2</v>
      </c>
      <c r="Q9" s="12">
        <f>COUNTIF(Data!$H$5:$H$51,$Q$2)</f>
        <v>45</v>
      </c>
      <c r="R9" s="22">
        <f t="shared" si="1"/>
        <v>47</v>
      </c>
      <c r="S9" s="9" t="s">
        <v>19</v>
      </c>
      <c r="T9">
        <f>COUNTIF(Data!$I$5:$I$51,$T$2)</f>
        <v>0</v>
      </c>
      <c r="U9">
        <f>COUNTIF(Data!$I$5:$I$51,$U$2)</f>
        <v>0</v>
      </c>
      <c r="V9">
        <f>COUNTIF(Data!$I$5:$I$51,$V$2)</f>
        <v>0</v>
      </c>
      <c r="W9">
        <f>COUNTIF(Data!$I$5:$I$51,$W$2)</f>
        <v>47</v>
      </c>
      <c r="X9" s="23">
        <f t="shared" si="2"/>
        <v>47</v>
      </c>
      <c r="Y9" s="9" t="s">
        <v>19</v>
      </c>
      <c r="Z9" s="12">
        <f>COUNTIF(Data!$J$5:$J$51,$Z$2)</f>
        <v>0</v>
      </c>
      <c r="AA9" s="12">
        <f>COUNTIF(Data!$J$5:$J$51,$AA$2)</f>
        <v>0</v>
      </c>
      <c r="AB9" s="12">
        <f>COUNTIF(Data!$J$5:$J$51,$AB$2)</f>
        <v>1</v>
      </c>
      <c r="AC9" s="12">
        <f>COUNTIF(Data!$J$5:$J$51,$AC$2)</f>
        <v>46</v>
      </c>
      <c r="AD9" s="22">
        <f t="shared" si="3"/>
        <v>47</v>
      </c>
      <c r="AE9" s="22"/>
      <c r="AF9" s="9" t="s">
        <v>19</v>
      </c>
      <c r="AG9">
        <f>COUNTIF(Data!$K$5:$K$51,$AG$2)</f>
        <v>0</v>
      </c>
      <c r="AH9">
        <f>COUNTIF(Data!$K$5:$K$51,$AH$2)</f>
        <v>0</v>
      </c>
      <c r="AI9">
        <f>COUNTIF(Data!$K$5:$K$51,$AI$2)</f>
        <v>0</v>
      </c>
      <c r="AJ9">
        <f>COUNTIF(Data!$K$5:$K$51,$AJ$2)</f>
        <v>47</v>
      </c>
      <c r="AK9" s="23">
        <f t="shared" si="4"/>
        <v>47</v>
      </c>
      <c r="AL9">
        <f>COUNTA(Data!A5:A51)</f>
        <v>47</v>
      </c>
    </row>
    <row r="10" spans="1:38" x14ac:dyDescent="0.25">
      <c r="A10" s="9" t="s">
        <v>18</v>
      </c>
      <c r="B10" s="12">
        <f>COUNTIF(Data!$F$52:$F$108,$B$2)</f>
        <v>0</v>
      </c>
      <c r="C10" s="12">
        <f>COUNTIF(Data!$F$52:$F$108,$C$2)</f>
        <v>0</v>
      </c>
      <c r="D10" s="12">
        <f>COUNTIF(Data!$F$52:$F$108,$D$2)</f>
        <v>0</v>
      </c>
      <c r="E10" s="12">
        <f>COUNTIF(Data!$F$52:$F$108,$E$2)</f>
        <v>57</v>
      </c>
      <c r="F10" s="22">
        <f t="shared" si="5"/>
        <v>57</v>
      </c>
      <c r="G10" s="9" t="s">
        <v>18</v>
      </c>
      <c r="H10">
        <f>COUNTIF(Data!$G$52:$G$108,$H$2)</f>
        <v>0</v>
      </c>
      <c r="I10">
        <f>COUNTIF(Data!$G$52:$G$108,$I$2)</f>
        <v>0</v>
      </c>
      <c r="J10">
        <f>COUNTIF(Data!$G$52:$G$108,$J$2)</f>
        <v>6</v>
      </c>
      <c r="K10">
        <f>COUNTIF(Data!$G$52:$G$108,$K$2)</f>
        <v>51</v>
      </c>
      <c r="L10" s="23">
        <f t="shared" si="0"/>
        <v>57</v>
      </c>
      <c r="M10" s="9" t="s">
        <v>18</v>
      </c>
      <c r="N10" s="12">
        <f>COUNTIF(Data!$H$52:$H$108,$N$2)</f>
        <v>0</v>
      </c>
      <c r="O10" s="12">
        <f>COUNTIF(Data!$H$52:$H$108,$O$2)</f>
        <v>0</v>
      </c>
      <c r="P10" s="12">
        <f>COUNTIF(Data!$H$52:$H$108,$P$2)</f>
        <v>1</v>
      </c>
      <c r="Q10" s="12">
        <f>COUNTIF(Data!$H$52:$H$108,$Q$2)</f>
        <v>56</v>
      </c>
      <c r="R10" s="22">
        <f t="shared" si="1"/>
        <v>57</v>
      </c>
      <c r="S10" s="9" t="s">
        <v>18</v>
      </c>
      <c r="T10">
        <f>COUNTIF(Data!$I$52:$I$108,$T$2)</f>
        <v>0</v>
      </c>
      <c r="U10">
        <f>COUNTIF(Data!$I$52:$I$108,$U$2)</f>
        <v>0</v>
      </c>
      <c r="V10">
        <f>COUNTIF(Data!$I$52:$I$108,$V$2)</f>
        <v>0</v>
      </c>
      <c r="W10">
        <f>COUNTIF(Data!$I$52:$I$108,$W$2)</f>
        <v>57</v>
      </c>
      <c r="X10" s="23">
        <f t="shared" si="2"/>
        <v>57</v>
      </c>
      <c r="Y10" s="9" t="s">
        <v>18</v>
      </c>
      <c r="Z10" s="12">
        <f>COUNTIF(Data!$J$52:$J$108,$Z$2)</f>
        <v>0</v>
      </c>
      <c r="AA10" s="12">
        <f>COUNTIF(Data!$J$52:$J$108,$AA$2)</f>
        <v>0</v>
      </c>
      <c r="AB10" s="12">
        <f>COUNTIF(Data!$J$52:$J$108,$AB$2)</f>
        <v>3</v>
      </c>
      <c r="AC10" s="12">
        <f>COUNTIF(Data!$J$52:$J$108,$AC$2)</f>
        <v>54</v>
      </c>
      <c r="AD10" s="22">
        <f t="shared" si="3"/>
        <v>57</v>
      </c>
      <c r="AE10" s="22"/>
      <c r="AF10" s="9" t="s">
        <v>18</v>
      </c>
      <c r="AG10">
        <f>COUNTIF(Data!$K$52:$K$108,$AG$2)</f>
        <v>0</v>
      </c>
      <c r="AH10">
        <f>COUNTIF(Data!$K$52:$K$108,$AH$2)</f>
        <v>0</v>
      </c>
      <c r="AI10">
        <f>COUNTIF(Data!$K$52:$K$108,$AI$2)</f>
        <v>1</v>
      </c>
      <c r="AJ10">
        <f>COUNTIF(Data!$K$52:$K$108,$AJ$2)</f>
        <v>56</v>
      </c>
      <c r="AK10" s="23">
        <f t="shared" si="4"/>
        <v>57</v>
      </c>
      <c r="AL10">
        <f>COUNTA(Data!A52:A108)</f>
        <v>56</v>
      </c>
    </row>
    <row r="11" spans="1:38" x14ac:dyDescent="0.25">
      <c r="A11" s="9" t="s">
        <v>17</v>
      </c>
      <c r="B11" s="12" t="e">
        <f>COUNTIF(Data!#REF!,$B$2)</f>
        <v>#REF!</v>
      </c>
      <c r="C11" s="12" t="e">
        <f>COUNTIF(Data!#REF!,$C$2)</f>
        <v>#REF!</v>
      </c>
      <c r="D11" s="12" t="e">
        <f>COUNTIF(Data!#REF!,$D$2)</f>
        <v>#REF!</v>
      </c>
      <c r="E11" s="12" t="e">
        <f>COUNTIF(Data!#REF!,$E$2)</f>
        <v>#REF!</v>
      </c>
      <c r="F11" s="22" t="e">
        <f t="shared" si="5"/>
        <v>#REF!</v>
      </c>
      <c r="G11" s="9" t="s">
        <v>17</v>
      </c>
      <c r="H11" t="e">
        <f>COUNTIF(Data!#REF!,$H$2)</f>
        <v>#REF!</v>
      </c>
      <c r="I11" t="e">
        <f>COUNTIF(Data!#REF!,$I$2)</f>
        <v>#REF!</v>
      </c>
      <c r="J11" t="e">
        <f>COUNTIF(Data!#REF!,$J$2)</f>
        <v>#REF!</v>
      </c>
      <c r="K11" t="e">
        <f>COUNTIF(Data!#REF!,$K$2)</f>
        <v>#REF!</v>
      </c>
      <c r="L11" s="23" t="e">
        <f t="shared" si="0"/>
        <v>#REF!</v>
      </c>
      <c r="M11" s="9" t="s">
        <v>17</v>
      </c>
      <c r="N11" s="12" t="e">
        <f>COUNTIF(Data!#REF!,$N$2)</f>
        <v>#REF!</v>
      </c>
      <c r="O11" s="12" t="e">
        <f>COUNTIF(Data!#REF!,$O$2)</f>
        <v>#REF!</v>
      </c>
      <c r="P11" s="12" t="e">
        <f>COUNTIF(Data!#REF!,$P$2)</f>
        <v>#REF!</v>
      </c>
      <c r="Q11" s="12" t="e">
        <f>COUNTIF(Data!#REF!,$Q$2)</f>
        <v>#REF!</v>
      </c>
      <c r="R11" s="22" t="e">
        <f t="shared" si="1"/>
        <v>#REF!</v>
      </c>
      <c r="S11" s="9" t="s">
        <v>17</v>
      </c>
      <c r="T11" t="e">
        <f>COUNTIF(Data!#REF!,$T$2)</f>
        <v>#REF!</v>
      </c>
      <c r="U11" t="e">
        <f>COUNTIF(Data!#REF!,$U$2)</f>
        <v>#REF!</v>
      </c>
      <c r="V11" t="e">
        <f>COUNTIF(Data!#REF!,$V$2)</f>
        <v>#REF!</v>
      </c>
      <c r="W11" t="e">
        <f>COUNTIF(Data!#REF!,$W$2)</f>
        <v>#REF!</v>
      </c>
      <c r="X11" s="23" t="e">
        <f t="shared" si="2"/>
        <v>#REF!</v>
      </c>
      <c r="Y11" s="9" t="s">
        <v>17</v>
      </c>
      <c r="Z11" s="12" t="e">
        <f>COUNTIF(Data!#REF!,$Z$2)</f>
        <v>#REF!</v>
      </c>
      <c r="AA11" s="12" t="e">
        <f>COUNTIF(Data!#REF!,$AA$2)</f>
        <v>#REF!</v>
      </c>
      <c r="AB11" s="12" t="e">
        <f>COUNTIF(Data!#REF!,$AB$2)</f>
        <v>#REF!</v>
      </c>
      <c r="AC11" s="12" t="e">
        <f>COUNTIF(Data!#REF!,$AC$2)</f>
        <v>#REF!</v>
      </c>
      <c r="AD11" s="22" t="e">
        <f t="shared" si="3"/>
        <v>#REF!</v>
      </c>
      <c r="AE11" s="22"/>
      <c r="AF11" s="9" t="s">
        <v>17</v>
      </c>
      <c r="AG11" t="e">
        <f>COUNTIF(Data!#REF!,$AG$2)</f>
        <v>#REF!</v>
      </c>
      <c r="AH11" t="e">
        <f>COUNTIF(Data!#REF!,$AH$2)</f>
        <v>#REF!</v>
      </c>
      <c r="AI11" t="e">
        <f>COUNTIF(Data!#REF!,$AI$2)</f>
        <v>#REF!</v>
      </c>
      <c r="AJ11" t="e">
        <f>COUNTIF(Data!#REF!,$AJ$2)</f>
        <v>#REF!</v>
      </c>
      <c r="AK11" s="23" t="e">
        <f t="shared" si="4"/>
        <v>#REF!</v>
      </c>
      <c r="AL11">
        <f>COUNTA(Data!#REF!)</f>
        <v>1</v>
      </c>
    </row>
    <row r="12" spans="1:38" x14ac:dyDescent="0.25">
      <c r="A12" s="9" t="s">
        <v>16</v>
      </c>
      <c r="B12" s="12" t="e">
        <f>COUNTIF(Data!#REF!,$B$2)</f>
        <v>#REF!</v>
      </c>
      <c r="C12" s="12" t="e">
        <f>COUNTIF(Data!#REF!,$C$2)</f>
        <v>#REF!</v>
      </c>
      <c r="D12" s="12" t="e">
        <f>COUNTIF(Data!#REF!,$D$2)</f>
        <v>#REF!</v>
      </c>
      <c r="E12" s="12" t="e">
        <f>COUNTIF(Data!#REF!,$E$2)</f>
        <v>#REF!</v>
      </c>
      <c r="F12" s="22" t="e">
        <f t="shared" si="5"/>
        <v>#REF!</v>
      </c>
      <c r="G12" s="9" t="s">
        <v>16</v>
      </c>
      <c r="H12" t="e">
        <f>COUNTIF(Data!#REF!,$H$2)</f>
        <v>#REF!</v>
      </c>
      <c r="I12" t="e">
        <f>COUNTIF(Data!#REF!,$I$2)</f>
        <v>#REF!</v>
      </c>
      <c r="J12" t="e">
        <f>COUNTIF(Data!#REF!,$J$2)</f>
        <v>#REF!</v>
      </c>
      <c r="K12" t="e">
        <f>COUNTIF(Data!#REF!,$K$2)</f>
        <v>#REF!</v>
      </c>
      <c r="L12" s="23" t="e">
        <f t="shared" si="0"/>
        <v>#REF!</v>
      </c>
      <c r="M12" s="9" t="s">
        <v>16</v>
      </c>
      <c r="N12" s="12" t="e">
        <f>COUNTIF(Data!#REF!,$N$2)</f>
        <v>#REF!</v>
      </c>
      <c r="O12" s="12" t="e">
        <f>COUNTIF(Data!#REF!,$O$2)</f>
        <v>#REF!</v>
      </c>
      <c r="P12" s="12" t="e">
        <f>COUNTIF(Data!#REF!,$P$2)</f>
        <v>#REF!</v>
      </c>
      <c r="Q12" s="12" t="e">
        <f>COUNTIF(Data!#REF!,$Q$2)</f>
        <v>#REF!</v>
      </c>
      <c r="R12" s="22" t="e">
        <f t="shared" si="1"/>
        <v>#REF!</v>
      </c>
      <c r="S12" s="9" t="s">
        <v>16</v>
      </c>
      <c r="T12" t="e">
        <f>COUNTIF(Data!#REF!,$T$2)</f>
        <v>#REF!</v>
      </c>
      <c r="U12" t="e">
        <f>COUNTIF(Data!#REF!,$U$2)</f>
        <v>#REF!</v>
      </c>
      <c r="V12" t="e">
        <f>COUNTIF(Data!#REF!,$V$2)</f>
        <v>#REF!</v>
      </c>
      <c r="W12" t="e">
        <f>COUNTIF(Data!#REF!,$W$2)</f>
        <v>#REF!</v>
      </c>
      <c r="X12" s="23" t="e">
        <f t="shared" si="2"/>
        <v>#REF!</v>
      </c>
      <c r="Y12" s="9" t="s">
        <v>16</v>
      </c>
      <c r="Z12" s="12" t="e">
        <f>COUNTIF(Data!#REF!,$Z$2)</f>
        <v>#REF!</v>
      </c>
      <c r="AA12" s="12" t="e">
        <f>COUNTIF(Data!#REF!,$AA$2)</f>
        <v>#REF!</v>
      </c>
      <c r="AB12" s="12" t="e">
        <f>COUNTIF(Data!#REF!,$AB$2)</f>
        <v>#REF!</v>
      </c>
      <c r="AC12" s="12" t="e">
        <f>COUNTIF(Data!#REF!,$AC$2)</f>
        <v>#REF!</v>
      </c>
      <c r="AD12" s="22" t="e">
        <f t="shared" si="3"/>
        <v>#REF!</v>
      </c>
      <c r="AE12" s="22"/>
      <c r="AF12" s="9" t="s">
        <v>16</v>
      </c>
      <c r="AG12" t="e">
        <f>COUNTIF(Data!#REF!,$AG$2)</f>
        <v>#REF!</v>
      </c>
      <c r="AH12" t="e">
        <f>COUNTIF(Data!#REF!,$AH$2)</f>
        <v>#REF!</v>
      </c>
      <c r="AI12" t="e">
        <f>COUNTIF(Data!#REF!,$AI$2)</f>
        <v>#REF!</v>
      </c>
      <c r="AJ12" t="e">
        <f>COUNTIF(Data!#REF!,$AJ$2)</f>
        <v>#REF!</v>
      </c>
      <c r="AK12" s="23" t="e">
        <f t="shared" si="4"/>
        <v>#REF!</v>
      </c>
      <c r="AL12">
        <f>COUNTA(Data!#REF!)</f>
        <v>1</v>
      </c>
    </row>
    <row r="13" spans="1:38" x14ac:dyDescent="0.25">
      <c r="A13" s="9" t="s">
        <v>22</v>
      </c>
      <c r="B13" s="12" t="e">
        <f>COUNTIF(Data!#REF!,$B$2)</f>
        <v>#REF!</v>
      </c>
      <c r="C13" s="12" t="e">
        <f>COUNTIF(Data!#REF!,$C$2)</f>
        <v>#REF!</v>
      </c>
      <c r="D13" s="12" t="e">
        <f>COUNTIF(Data!#REF!,$D$2)</f>
        <v>#REF!</v>
      </c>
      <c r="E13" s="12" t="e">
        <f>COUNTIF(Data!#REF!,$E$2)</f>
        <v>#REF!</v>
      </c>
      <c r="F13" s="22" t="e">
        <f t="shared" si="5"/>
        <v>#REF!</v>
      </c>
      <c r="G13" s="9" t="s">
        <v>22</v>
      </c>
      <c r="H13" t="e">
        <f>COUNTIF(Data!#REF!,$H$2)</f>
        <v>#REF!</v>
      </c>
      <c r="I13" t="e">
        <f>COUNTIF(Data!#REF!,$I$2)</f>
        <v>#REF!</v>
      </c>
      <c r="J13" t="e">
        <f>COUNTIF(Data!#REF!,$J$2)</f>
        <v>#REF!</v>
      </c>
      <c r="K13" t="e">
        <f>COUNTIF(Data!#REF!,$K$2)</f>
        <v>#REF!</v>
      </c>
      <c r="L13" s="23" t="e">
        <f t="shared" si="0"/>
        <v>#REF!</v>
      </c>
      <c r="M13" s="9" t="s">
        <v>22</v>
      </c>
      <c r="N13" s="12" t="e">
        <f>COUNTIF(Data!#REF!,$N$2)</f>
        <v>#REF!</v>
      </c>
      <c r="O13" s="12" t="e">
        <f>COUNTIF(Data!#REF!,$O$2)</f>
        <v>#REF!</v>
      </c>
      <c r="P13" s="12" t="e">
        <f>COUNTIF(Data!#REF!,$P$2)</f>
        <v>#REF!</v>
      </c>
      <c r="Q13" s="12" t="e">
        <f>COUNTIF(Data!#REF!,$Q$2)</f>
        <v>#REF!</v>
      </c>
      <c r="R13" s="22" t="e">
        <f t="shared" si="1"/>
        <v>#REF!</v>
      </c>
      <c r="S13" s="9" t="s">
        <v>22</v>
      </c>
      <c r="T13" t="e">
        <f>COUNTIF(Data!#REF!,$T$2)</f>
        <v>#REF!</v>
      </c>
      <c r="U13" t="e">
        <f>COUNTIF(Data!#REF!,$U$2)</f>
        <v>#REF!</v>
      </c>
      <c r="V13" t="e">
        <f>COUNTIF(Data!#REF!,$V$2)</f>
        <v>#REF!</v>
      </c>
      <c r="W13" t="e">
        <f>COUNTIF(Data!#REF!,$W$2)</f>
        <v>#REF!</v>
      </c>
      <c r="X13" s="23" t="e">
        <f t="shared" si="2"/>
        <v>#REF!</v>
      </c>
      <c r="Y13" s="9" t="s">
        <v>22</v>
      </c>
      <c r="Z13" s="12" t="e">
        <f>COUNTIF(Data!#REF!,$Z$2)</f>
        <v>#REF!</v>
      </c>
      <c r="AA13" s="12" t="e">
        <f>COUNTIF(Data!#REF!,$AA$2)</f>
        <v>#REF!</v>
      </c>
      <c r="AB13" s="12" t="e">
        <f>COUNTIF(Data!#REF!,$AB$2)</f>
        <v>#REF!</v>
      </c>
      <c r="AC13" s="12" t="e">
        <f>COUNTIF(Data!#REF!,$AC$2)</f>
        <v>#REF!</v>
      </c>
      <c r="AD13" s="22" t="e">
        <f t="shared" si="3"/>
        <v>#REF!</v>
      </c>
      <c r="AE13" s="22"/>
      <c r="AF13" s="9" t="s">
        <v>22</v>
      </c>
      <c r="AG13" t="e">
        <f>COUNTIF(Data!#REF!,$AG$2)</f>
        <v>#REF!</v>
      </c>
      <c r="AH13" t="e">
        <f>COUNTIF(Data!#REF!,$AH$2)</f>
        <v>#REF!</v>
      </c>
      <c r="AI13" t="e">
        <f>COUNTIF(Data!#REF!,$AI$2)</f>
        <v>#REF!</v>
      </c>
      <c r="AJ13" t="e">
        <f>COUNTIF(Data!#REF!,$AJ$2)</f>
        <v>#REF!</v>
      </c>
      <c r="AK13" s="23" t="e">
        <f t="shared" si="4"/>
        <v>#REF!</v>
      </c>
      <c r="AL13">
        <f>COUNTA(Data!#REF!)</f>
        <v>1</v>
      </c>
    </row>
    <row r="14" spans="1:38" x14ac:dyDescent="0.25">
      <c r="A14" s="9" t="s">
        <v>26</v>
      </c>
      <c r="B14" s="11"/>
      <c r="C14" s="11"/>
      <c r="D14" s="12"/>
      <c r="E14" s="12"/>
      <c r="F14" s="12"/>
      <c r="G14" s="9" t="s">
        <v>26</v>
      </c>
      <c r="M14" s="9" t="s">
        <v>26</v>
      </c>
      <c r="S14" s="9" t="s">
        <v>26</v>
      </c>
      <c r="Y14" s="9" t="s">
        <v>26</v>
      </c>
      <c r="AF14" s="9" t="s">
        <v>26</v>
      </c>
      <c r="AG14" s="9"/>
    </row>
    <row r="15" spans="1:38" x14ac:dyDescent="0.25">
      <c r="A15" s="9" t="s">
        <v>27</v>
      </c>
      <c r="B15" s="11"/>
      <c r="C15" s="11"/>
      <c r="D15" s="12"/>
      <c r="E15" s="12"/>
      <c r="F15" s="12"/>
      <c r="G15" s="9" t="s">
        <v>27</v>
      </c>
      <c r="M15" s="9" t="s">
        <v>27</v>
      </c>
      <c r="S15" s="9" t="s">
        <v>27</v>
      </c>
      <c r="Y15" s="9" t="s">
        <v>27</v>
      </c>
      <c r="AF15" s="9" t="s">
        <v>27</v>
      </c>
      <c r="AG15" s="9"/>
      <c r="AL15" s="16">
        <f>SUM(AL7:AL14)</f>
        <v>107</v>
      </c>
    </row>
    <row r="16" spans="1:38" x14ac:dyDescent="0.25">
      <c r="A16" s="9"/>
      <c r="B16" s="1"/>
      <c r="C16" s="1"/>
      <c r="D16" s="1"/>
      <c r="E16" s="1"/>
    </row>
    <row r="17" spans="1:37" x14ac:dyDescent="0.25">
      <c r="A17" s="9"/>
      <c r="B17" s="4"/>
      <c r="C17" s="4"/>
      <c r="D17" s="4"/>
      <c r="E17" s="4"/>
    </row>
    <row r="18" spans="1:37" x14ac:dyDescent="0.25">
      <c r="A18" s="9" t="s">
        <v>29</v>
      </c>
      <c r="B18" s="15"/>
      <c r="C18" s="15"/>
      <c r="D18" s="15"/>
      <c r="E18" s="15"/>
      <c r="F18" s="15"/>
      <c r="G18" s="15"/>
    </row>
    <row r="19" spans="1:37" x14ac:dyDescent="0.25">
      <c r="A19" s="9" t="s">
        <v>23</v>
      </c>
      <c r="B19" s="15"/>
      <c r="C19" s="15"/>
      <c r="D19" s="15"/>
      <c r="E19" s="15"/>
      <c r="F19" s="15"/>
      <c r="G19" s="15"/>
    </row>
    <row r="20" spans="1:37" x14ac:dyDescent="0.25">
      <c r="A20" s="9" t="s">
        <v>24</v>
      </c>
      <c r="B20" s="15"/>
      <c r="C20" s="15"/>
      <c r="D20" s="15"/>
      <c r="E20" s="15"/>
      <c r="F20" s="15"/>
      <c r="G20" s="15"/>
    </row>
    <row r="21" spans="1:37" x14ac:dyDescent="0.25">
      <c r="A21" s="9" t="s">
        <v>25</v>
      </c>
      <c r="B21" s="15"/>
      <c r="C21" s="15"/>
      <c r="D21" s="15"/>
      <c r="E21" s="15"/>
      <c r="F21" s="15"/>
      <c r="G21" s="15"/>
    </row>
    <row r="22" spans="1:37" x14ac:dyDescent="0.25">
      <c r="A22" s="9" t="s">
        <v>20</v>
      </c>
      <c r="B22" s="15" t="e">
        <f>B8/C8</f>
        <v>#DIV/0!</v>
      </c>
      <c r="C22" s="15" t="e">
        <f t="shared" ref="B22:D27" si="6">C8/D8</f>
        <v>#DIV/0!</v>
      </c>
      <c r="D22" s="15">
        <f t="shared" si="6"/>
        <v>0</v>
      </c>
      <c r="E22" s="15">
        <f>E8/F8</f>
        <v>1</v>
      </c>
      <c r="F22" s="15"/>
      <c r="G22" s="15"/>
      <c r="H22" s="15" t="e">
        <f t="shared" ref="H22:H27" si="7">H8/I8</f>
        <v>#DIV/0!</v>
      </c>
      <c r="I22" s="15" t="e">
        <f>I8/J8</f>
        <v>#DIV/0!</v>
      </c>
      <c r="J22" s="15">
        <f>J8/K8</f>
        <v>0</v>
      </c>
      <c r="K22" s="15">
        <f t="shared" ref="K22:K27" si="8">K8/L8</f>
        <v>1</v>
      </c>
      <c r="L22" s="15"/>
      <c r="M22" s="17"/>
      <c r="N22" s="17">
        <f>N8/$AL$8</f>
        <v>0</v>
      </c>
      <c r="O22" s="17">
        <f>O8/$AL$8</f>
        <v>0</v>
      </c>
      <c r="P22" s="17">
        <f>P8/$AL$8</f>
        <v>0</v>
      </c>
      <c r="Q22" s="17">
        <f>Q8/$AL$8</f>
        <v>1</v>
      </c>
      <c r="R22" s="17">
        <f>AVERAGE(N22:Q22)</f>
        <v>0.25</v>
      </c>
      <c r="S22" s="17"/>
      <c r="T22" s="17">
        <f>T8/$AL$8</f>
        <v>0</v>
      </c>
      <c r="U22" s="17">
        <f>U8/$AL$8</f>
        <v>0</v>
      </c>
      <c r="V22" s="17">
        <f>V8/$AL$8</f>
        <v>0</v>
      </c>
      <c r="W22" s="17">
        <f>W8/$AL$8</f>
        <v>1</v>
      </c>
      <c r="X22" s="17">
        <f>AVERAGE(T22:W22)</f>
        <v>0.25</v>
      </c>
      <c r="Y22" s="17"/>
      <c r="Z22" s="17">
        <f>Z8/$AL$8</f>
        <v>0</v>
      </c>
      <c r="AA22" s="17">
        <f>AA8/$AL$8</f>
        <v>0</v>
      </c>
      <c r="AB22" s="17">
        <f>AB8/$AL$8</f>
        <v>0</v>
      </c>
      <c r="AC22" s="17">
        <f>AC8/$AL$8</f>
        <v>1</v>
      </c>
      <c r="AD22" s="17">
        <f>AVERAGE(Z22:AC22)</f>
        <v>0.25</v>
      </c>
      <c r="AE22" s="17"/>
      <c r="AF22" s="17"/>
      <c r="AG22" s="17">
        <f>AG8/$AL$8</f>
        <v>0</v>
      </c>
      <c r="AH22" s="17">
        <f t="shared" ref="AH22:AJ22" si="9">AH8/$AL$8</f>
        <v>0</v>
      </c>
      <c r="AI22" s="17">
        <f t="shared" si="9"/>
        <v>0</v>
      </c>
      <c r="AJ22" s="17">
        <f t="shared" si="9"/>
        <v>1</v>
      </c>
      <c r="AK22" s="17">
        <f>AVERAGE(AG22:AJ22)</f>
        <v>0.25</v>
      </c>
    </row>
    <row r="23" spans="1:37" x14ac:dyDescent="0.25">
      <c r="A23" s="9" t="s">
        <v>19</v>
      </c>
      <c r="B23" s="15" t="e">
        <f t="shared" si="6"/>
        <v>#DIV/0!</v>
      </c>
      <c r="C23" s="15" t="e">
        <f t="shared" si="6"/>
        <v>#DIV/0!</v>
      </c>
      <c r="D23" s="15">
        <f t="shared" si="6"/>
        <v>0</v>
      </c>
      <c r="E23" s="15">
        <f>E9/F9</f>
        <v>1</v>
      </c>
      <c r="F23" s="15"/>
      <c r="G23" s="15"/>
      <c r="H23" s="15">
        <f t="shared" si="7"/>
        <v>0</v>
      </c>
      <c r="I23" s="15">
        <f t="shared" ref="I23:I27" si="10">I9/J9</f>
        <v>0.125</v>
      </c>
      <c r="J23" s="15">
        <f>J9/K9</f>
        <v>0.21052631578947367</v>
      </c>
      <c r="K23" s="15">
        <f t="shared" si="8"/>
        <v>0.80851063829787229</v>
      </c>
      <c r="L23" s="15"/>
      <c r="M23" s="17"/>
      <c r="N23" s="17">
        <f>N9/$AL$9</f>
        <v>0</v>
      </c>
      <c r="O23" s="17">
        <f>O9/$AL$9</f>
        <v>0</v>
      </c>
      <c r="P23" s="17">
        <f>P9/$AL$9</f>
        <v>4.2553191489361701E-2</v>
      </c>
      <c r="Q23" s="17">
        <f>Q9/$AL$9</f>
        <v>0.95744680851063835</v>
      </c>
      <c r="R23" s="17">
        <f>AVERAGE(N23:Q23)</f>
        <v>0.25</v>
      </c>
      <c r="S23" s="17"/>
      <c r="T23" s="17">
        <f>T9/$AL$9</f>
        <v>0</v>
      </c>
      <c r="U23" s="17">
        <f>U9/$AL$9</f>
        <v>0</v>
      </c>
      <c r="V23" s="17">
        <f>V9/$AL$9</f>
        <v>0</v>
      </c>
      <c r="W23" s="17">
        <f>W9/$AL$9</f>
        <v>1</v>
      </c>
      <c r="X23" s="17">
        <f t="shared" ref="X23:X27" si="11">AVERAGE(T23:W23)</f>
        <v>0.25</v>
      </c>
      <c r="Y23" s="17"/>
      <c r="Z23" s="17">
        <f>Z9/$AL$9</f>
        <v>0</v>
      </c>
      <c r="AA23" s="17">
        <f>AA9/$AL$9</f>
        <v>0</v>
      </c>
      <c r="AB23" s="17">
        <f>AB9/$AL$9</f>
        <v>2.1276595744680851E-2</v>
      </c>
      <c r="AC23" s="17">
        <f>AC9/$AL$9</f>
        <v>0.97872340425531912</v>
      </c>
      <c r="AD23" s="17">
        <f>AVERAGE(Z23:AC23)</f>
        <v>0.25</v>
      </c>
      <c r="AE23" s="17"/>
      <c r="AF23" s="17"/>
      <c r="AG23" s="17">
        <f>AG9/$AL$9</f>
        <v>0</v>
      </c>
      <c r="AH23" s="17">
        <f t="shared" ref="AH23:AJ23" si="12">AH9/$AL$9</f>
        <v>0</v>
      </c>
      <c r="AI23" s="17">
        <f t="shared" si="12"/>
        <v>0</v>
      </c>
      <c r="AJ23" s="17">
        <f t="shared" si="12"/>
        <v>1</v>
      </c>
      <c r="AK23" s="17">
        <f t="shared" ref="AK23:AK27" si="13">AVERAGE(AG23:AJ23)</f>
        <v>0.25</v>
      </c>
    </row>
    <row r="24" spans="1:37" x14ac:dyDescent="0.25">
      <c r="A24" s="9" t="s">
        <v>18</v>
      </c>
      <c r="B24" s="15" t="e">
        <f t="shared" si="6"/>
        <v>#DIV/0!</v>
      </c>
      <c r="C24" s="15" t="e">
        <f t="shared" si="6"/>
        <v>#DIV/0!</v>
      </c>
      <c r="D24" s="15">
        <f t="shared" si="6"/>
        <v>0</v>
      </c>
      <c r="E24" s="15">
        <f t="shared" ref="E24:E27" si="14">E10/F10</f>
        <v>1</v>
      </c>
      <c r="F24" s="15"/>
      <c r="G24" s="15"/>
      <c r="H24" s="15" t="e">
        <f t="shared" si="7"/>
        <v>#DIV/0!</v>
      </c>
      <c r="I24" s="15">
        <f t="shared" si="10"/>
        <v>0</v>
      </c>
      <c r="J24" s="15">
        <f t="shared" ref="J24:J27" si="15">J10/K10</f>
        <v>0.11764705882352941</v>
      </c>
      <c r="K24" s="15">
        <f t="shared" si="8"/>
        <v>0.89473684210526316</v>
      </c>
      <c r="L24" s="15"/>
      <c r="M24" s="17"/>
      <c r="N24" s="17">
        <f>N10/$AL$10</f>
        <v>0</v>
      </c>
      <c r="O24" s="17">
        <f>O10/$AL$10</f>
        <v>0</v>
      </c>
      <c r="P24" s="17">
        <f>P10/$AL$10</f>
        <v>1.7857142857142856E-2</v>
      </c>
      <c r="Q24" s="17">
        <f>Q10/$AL$10</f>
        <v>1</v>
      </c>
      <c r="R24" s="17">
        <f t="shared" ref="R24:R27" si="16">AVERAGE(N24:Q24)</f>
        <v>0.2544642857142857</v>
      </c>
      <c r="S24" s="17"/>
      <c r="T24" s="17">
        <f>T10/$AL$10</f>
        <v>0</v>
      </c>
      <c r="U24" s="17">
        <f>U10/$AL$10</f>
        <v>0</v>
      </c>
      <c r="V24" s="17">
        <f>V10/$AL$10</f>
        <v>0</v>
      </c>
      <c r="W24" s="17">
        <f>W10/$AL$10</f>
        <v>1.0178571428571428</v>
      </c>
      <c r="X24" s="17">
        <f t="shared" si="11"/>
        <v>0.2544642857142857</v>
      </c>
      <c r="Y24" s="17"/>
      <c r="Z24" s="17">
        <f>Z10/$AL$10</f>
        <v>0</v>
      </c>
      <c r="AA24" s="17">
        <f>AA10/$AL$10</f>
        <v>0</v>
      </c>
      <c r="AB24" s="17">
        <f>AB10/$AL$10</f>
        <v>5.3571428571428568E-2</v>
      </c>
      <c r="AC24" s="17">
        <f>AC10/$AL$10</f>
        <v>0.9642857142857143</v>
      </c>
      <c r="AD24" s="17">
        <f t="shared" ref="AD24:AD27" si="17">AVERAGE(Z24:AC24)</f>
        <v>0.2544642857142857</v>
      </c>
      <c r="AE24" s="17"/>
      <c r="AF24" s="17"/>
      <c r="AG24" s="17">
        <f>AG10/$AL$10</f>
        <v>0</v>
      </c>
      <c r="AH24" s="17">
        <f t="shared" ref="AH24:AJ24" si="18">AH10/$AL$10</f>
        <v>0</v>
      </c>
      <c r="AI24" s="17">
        <f t="shared" si="18"/>
        <v>1.7857142857142856E-2</v>
      </c>
      <c r="AJ24" s="17">
        <f t="shared" si="18"/>
        <v>1</v>
      </c>
      <c r="AK24" s="17">
        <f t="shared" si="13"/>
        <v>0.2544642857142857</v>
      </c>
    </row>
    <row r="25" spans="1:37" x14ac:dyDescent="0.25">
      <c r="A25" s="9" t="s">
        <v>17</v>
      </c>
      <c r="B25" s="15" t="e">
        <f t="shared" si="6"/>
        <v>#REF!</v>
      </c>
      <c r="C25" s="15" t="e">
        <f t="shared" si="6"/>
        <v>#REF!</v>
      </c>
      <c r="D25" s="15" t="e">
        <f t="shared" si="6"/>
        <v>#REF!</v>
      </c>
      <c r="E25" s="15" t="e">
        <f t="shared" si="14"/>
        <v>#REF!</v>
      </c>
      <c r="F25" s="15"/>
      <c r="G25" s="15"/>
      <c r="H25" s="15" t="e">
        <f t="shared" si="7"/>
        <v>#REF!</v>
      </c>
      <c r="I25" s="15" t="e">
        <f t="shared" si="10"/>
        <v>#REF!</v>
      </c>
      <c r="J25" s="15" t="e">
        <f t="shared" si="15"/>
        <v>#REF!</v>
      </c>
      <c r="K25" s="15" t="e">
        <f t="shared" si="8"/>
        <v>#REF!</v>
      </c>
      <c r="L25" s="15"/>
      <c r="M25" s="17"/>
      <c r="N25" s="17" t="e">
        <f>N11/$AL$11</f>
        <v>#REF!</v>
      </c>
      <c r="O25" s="17" t="e">
        <f>O11/$AL$11</f>
        <v>#REF!</v>
      </c>
      <c r="P25" s="17" t="e">
        <f>P11/$AL$11</f>
        <v>#REF!</v>
      </c>
      <c r="Q25" s="17" t="e">
        <f>Q11/$AL$11</f>
        <v>#REF!</v>
      </c>
      <c r="R25" s="17" t="e">
        <f t="shared" si="16"/>
        <v>#REF!</v>
      </c>
      <c r="S25" s="17"/>
      <c r="T25" s="17" t="e">
        <f>T11/$AL$11</f>
        <v>#REF!</v>
      </c>
      <c r="U25" s="17" t="e">
        <f>U11/$AL$11</f>
        <v>#REF!</v>
      </c>
      <c r="V25" s="17" t="e">
        <f>V11/$AL$11</f>
        <v>#REF!</v>
      </c>
      <c r="W25" s="17" t="e">
        <f>W11/$AL$11</f>
        <v>#REF!</v>
      </c>
      <c r="X25" s="17" t="e">
        <f t="shared" si="11"/>
        <v>#REF!</v>
      </c>
      <c r="Y25" s="17"/>
      <c r="Z25" s="17" t="e">
        <f>Z11/$AL$11</f>
        <v>#REF!</v>
      </c>
      <c r="AA25" s="17" t="e">
        <f>AA11/$AL$11</f>
        <v>#REF!</v>
      </c>
      <c r="AB25" s="17" t="e">
        <f>AB11/$AL$11</f>
        <v>#REF!</v>
      </c>
      <c r="AC25" s="17" t="e">
        <f>AC11/$AL$11</f>
        <v>#REF!</v>
      </c>
      <c r="AD25" s="17" t="e">
        <f t="shared" si="17"/>
        <v>#REF!</v>
      </c>
      <c r="AE25" s="17"/>
      <c r="AF25" s="17"/>
      <c r="AG25" s="17" t="e">
        <f>AG11/$AL$11</f>
        <v>#REF!</v>
      </c>
      <c r="AH25" s="17" t="e">
        <f t="shared" ref="AH25:AJ25" si="19">AH11/$AL$11</f>
        <v>#REF!</v>
      </c>
      <c r="AI25" s="17" t="e">
        <f t="shared" si="19"/>
        <v>#REF!</v>
      </c>
      <c r="AJ25" s="17" t="e">
        <f t="shared" si="19"/>
        <v>#REF!</v>
      </c>
      <c r="AK25" s="17" t="e">
        <f t="shared" si="13"/>
        <v>#REF!</v>
      </c>
    </row>
    <row r="26" spans="1:37" x14ac:dyDescent="0.25">
      <c r="A26" s="9" t="s">
        <v>16</v>
      </c>
      <c r="B26" s="15" t="e">
        <f t="shared" si="6"/>
        <v>#REF!</v>
      </c>
      <c r="C26" s="15" t="e">
        <f t="shared" si="6"/>
        <v>#REF!</v>
      </c>
      <c r="D26" s="15" t="e">
        <f t="shared" si="6"/>
        <v>#REF!</v>
      </c>
      <c r="E26" s="15" t="e">
        <f t="shared" si="14"/>
        <v>#REF!</v>
      </c>
      <c r="F26" s="15"/>
      <c r="G26" s="15"/>
      <c r="H26" s="15" t="e">
        <f t="shared" si="7"/>
        <v>#REF!</v>
      </c>
      <c r="I26" s="15" t="e">
        <f t="shared" si="10"/>
        <v>#REF!</v>
      </c>
      <c r="J26" s="15" t="e">
        <f t="shared" si="15"/>
        <v>#REF!</v>
      </c>
      <c r="K26" s="15" t="e">
        <f t="shared" si="8"/>
        <v>#REF!</v>
      </c>
      <c r="L26" s="15"/>
      <c r="M26" s="17"/>
      <c r="N26" s="17" t="e">
        <f>N12/$AL$12</f>
        <v>#REF!</v>
      </c>
      <c r="O26" s="17" t="e">
        <f>O12/$AL$12</f>
        <v>#REF!</v>
      </c>
      <c r="P26" s="17" t="e">
        <f>P12/$AL$12</f>
        <v>#REF!</v>
      </c>
      <c r="Q26" s="17" t="e">
        <f>Q12/$AL$12</f>
        <v>#REF!</v>
      </c>
      <c r="R26" s="17" t="e">
        <f t="shared" si="16"/>
        <v>#REF!</v>
      </c>
      <c r="S26" s="17"/>
      <c r="T26" s="17" t="e">
        <f>T12/$AL$12</f>
        <v>#REF!</v>
      </c>
      <c r="U26" s="17" t="e">
        <f>U12/$AL$12</f>
        <v>#REF!</v>
      </c>
      <c r="V26" s="17" t="e">
        <f>V12/$AL$12</f>
        <v>#REF!</v>
      </c>
      <c r="W26" s="17" t="e">
        <f>W12/$AL$12</f>
        <v>#REF!</v>
      </c>
      <c r="X26" s="17" t="e">
        <f t="shared" si="11"/>
        <v>#REF!</v>
      </c>
      <c r="Y26" s="17"/>
      <c r="Z26" s="17" t="e">
        <f>Z12/$AL$12</f>
        <v>#REF!</v>
      </c>
      <c r="AA26" s="17" t="e">
        <f>AA12/$AL$12</f>
        <v>#REF!</v>
      </c>
      <c r="AB26" s="17" t="e">
        <f>AB12/$AL$12</f>
        <v>#REF!</v>
      </c>
      <c r="AC26" s="17" t="e">
        <f>AC12/$AL$12</f>
        <v>#REF!</v>
      </c>
      <c r="AD26" s="17" t="e">
        <f t="shared" si="17"/>
        <v>#REF!</v>
      </c>
      <c r="AE26" s="17"/>
      <c r="AF26" s="17"/>
      <c r="AG26" s="17" t="e">
        <f>AG12/$AL$12</f>
        <v>#REF!</v>
      </c>
      <c r="AH26" s="17" t="e">
        <f t="shared" ref="AH26:AJ26" si="20">AH12/$AL$12</f>
        <v>#REF!</v>
      </c>
      <c r="AI26" s="17" t="e">
        <f t="shared" si="20"/>
        <v>#REF!</v>
      </c>
      <c r="AJ26" s="17" t="e">
        <f t="shared" si="20"/>
        <v>#REF!</v>
      </c>
      <c r="AK26" s="17" t="e">
        <f t="shared" si="13"/>
        <v>#REF!</v>
      </c>
    </row>
    <row r="27" spans="1:37" x14ac:dyDescent="0.25">
      <c r="A27" s="9" t="s">
        <v>22</v>
      </c>
      <c r="B27" s="15" t="e">
        <f t="shared" si="6"/>
        <v>#REF!</v>
      </c>
      <c r="C27" s="15" t="e">
        <f t="shared" si="6"/>
        <v>#REF!</v>
      </c>
      <c r="D27" s="15" t="e">
        <f t="shared" si="6"/>
        <v>#REF!</v>
      </c>
      <c r="E27" s="15" t="e">
        <f t="shared" si="14"/>
        <v>#REF!</v>
      </c>
      <c r="F27" s="15"/>
      <c r="G27" s="15"/>
      <c r="H27" s="15" t="e">
        <f t="shared" si="7"/>
        <v>#REF!</v>
      </c>
      <c r="I27" s="15" t="e">
        <f t="shared" si="10"/>
        <v>#REF!</v>
      </c>
      <c r="J27" s="15" t="e">
        <f t="shared" si="15"/>
        <v>#REF!</v>
      </c>
      <c r="K27" s="15" t="e">
        <f t="shared" si="8"/>
        <v>#REF!</v>
      </c>
      <c r="L27" s="15"/>
      <c r="M27" s="17"/>
      <c r="N27" s="17" t="e">
        <f>N13/$AL$13</f>
        <v>#REF!</v>
      </c>
      <c r="O27" s="17" t="e">
        <f>O13/$AL$13</f>
        <v>#REF!</v>
      </c>
      <c r="P27" s="17" t="e">
        <f>P13/$AL$13</f>
        <v>#REF!</v>
      </c>
      <c r="Q27" s="17" t="e">
        <f>Q13/$AL$13</f>
        <v>#REF!</v>
      </c>
      <c r="R27" s="17" t="e">
        <f t="shared" si="16"/>
        <v>#REF!</v>
      </c>
      <c r="S27" s="17"/>
      <c r="T27" s="17" t="e">
        <f>T13/$AL$13</f>
        <v>#REF!</v>
      </c>
      <c r="U27" s="17" t="e">
        <f>U13/$AL$13</f>
        <v>#REF!</v>
      </c>
      <c r="V27" s="17" t="e">
        <f>V13/$AL$13</f>
        <v>#REF!</v>
      </c>
      <c r="W27" s="17" t="e">
        <f>W13/$AL$13</f>
        <v>#REF!</v>
      </c>
      <c r="X27" s="17" t="e">
        <f t="shared" si="11"/>
        <v>#REF!</v>
      </c>
      <c r="Y27" s="17"/>
      <c r="Z27" s="17" t="e">
        <f>Z13/$AL$13</f>
        <v>#REF!</v>
      </c>
      <c r="AA27" s="17" t="e">
        <f>AA13/$AL$13</f>
        <v>#REF!</v>
      </c>
      <c r="AB27" s="17" t="e">
        <f>AB13/$AL$13</f>
        <v>#REF!</v>
      </c>
      <c r="AC27" s="17" t="e">
        <f>AC13/$AL$13</f>
        <v>#REF!</v>
      </c>
      <c r="AD27" s="17" t="e">
        <f t="shared" si="17"/>
        <v>#REF!</v>
      </c>
      <c r="AE27" s="17"/>
      <c r="AF27" s="17"/>
      <c r="AG27" s="17" t="e">
        <f>AG13/$AL$13</f>
        <v>#REF!</v>
      </c>
      <c r="AH27" s="17" t="e">
        <f t="shared" ref="AH27:AJ27" si="21">AH13/$AL$13</f>
        <v>#REF!</v>
      </c>
      <c r="AI27" s="17" t="e">
        <f t="shared" si="21"/>
        <v>#REF!</v>
      </c>
      <c r="AJ27" s="17" t="e">
        <f t="shared" si="21"/>
        <v>#REF!</v>
      </c>
      <c r="AK27" s="17" t="e">
        <f t="shared" si="13"/>
        <v>#REF!</v>
      </c>
    </row>
    <row r="28" spans="1:37" x14ac:dyDescent="0.25">
      <c r="A28" s="9" t="s">
        <v>26</v>
      </c>
      <c r="B28" s="15"/>
      <c r="C28" s="15"/>
      <c r="D28" s="15"/>
      <c r="E28" s="15"/>
      <c r="F28" s="15"/>
      <c r="G28" s="15"/>
      <c r="H28" s="15"/>
      <c r="I28" s="15"/>
      <c r="J28" s="15"/>
      <c r="K28" s="15"/>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row>
    <row r="29" spans="1:37" x14ac:dyDescent="0.25">
      <c r="A29" s="9" t="s">
        <v>27</v>
      </c>
      <c r="B29" s="15"/>
      <c r="C29" s="15"/>
      <c r="D29" s="15"/>
      <c r="E29" s="15"/>
      <c r="F29" s="15"/>
      <c r="G29" s="15"/>
      <c r="H29" s="15"/>
      <c r="I29" s="15"/>
      <c r="J29" s="15"/>
      <c r="K29" s="15"/>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row>
    <row r="33" spans="1:8" ht="30" x14ac:dyDescent="0.25">
      <c r="A33" s="18"/>
      <c r="B33" s="19" t="s">
        <v>5</v>
      </c>
      <c r="C33" s="19" t="s">
        <v>6</v>
      </c>
      <c r="D33" s="19" t="s">
        <v>15</v>
      </c>
      <c r="E33" s="20" t="s">
        <v>7</v>
      </c>
      <c r="F33" s="19" t="s">
        <v>8</v>
      </c>
      <c r="G33" s="19"/>
      <c r="H33" s="20" t="s">
        <v>9</v>
      </c>
    </row>
    <row r="34" spans="1:8" x14ac:dyDescent="0.25">
      <c r="A34" s="9" t="s">
        <v>29</v>
      </c>
    </row>
    <row r="35" spans="1:8" x14ac:dyDescent="0.25">
      <c r="A35" s="9" t="s">
        <v>23</v>
      </c>
    </row>
    <row r="36" spans="1:8" x14ac:dyDescent="0.25">
      <c r="A36" s="9" t="s">
        <v>24</v>
      </c>
    </row>
    <row r="37" spans="1:8" x14ac:dyDescent="0.25">
      <c r="A37" s="9" t="s">
        <v>25</v>
      </c>
    </row>
    <row r="38" spans="1:8" x14ac:dyDescent="0.25">
      <c r="A38" s="9" t="s">
        <v>20</v>
      </c>
      <c r="B38" s="17">
        <f>F22</f>
        <v>0</v>
      </c>
      <c r="C38" s="17">
        <f>L22</f>
        <v>0</v>
      </c>
      <c r="D38" s="17">
        <f>Q22</f>
        <v>1</v>
      </c>
      <c r="E38" s="17">
        <f>W22</f>
        <v>1</v>
      </c>
      <c r="F38" s="17">
        <f>AD22</f>
        <v>0.25</v>
      </c>
      <c r="G38" s="17"/>
      <c r="H38" s="17">
        <f>AK22</f>
        <v>0.25</v>
      </c>
    </row>
    <row r="39" spans="1:8" x14ac:dyDescent="0.25">
      <c r="A39" s="9" t="s">
        <v>19</v>
      </c>
      <c r="B39" s="17">
        <f t="shared" ref="B39:B43" si="22">F23</f>
        <v>0</v>
      </c>
      <c r="C39" s="17">
        <f t="shared" ref="C39:C43" si="23">L23</f>
        <v>0</v>
      </c>
      <c r="D39" s="17">
        <f t="shared" ref="D39:D43" si="24">Q23</f>
        <v>0.95744680851063835</v>
      </c>
      <c r="E39" s="17">
        <f t="shared" ref="E39:E43" si="25">W23</f>
        <v>1</v>
      </c>
      <c r="F39" s="17">
        <f t="shared" ref="F39:F43" si="26">AD23</f>
        <v>0.25</v>
      </c>
      <c r="G39" s="17"/>
      <c r="H39" s="17">
        <f t="shared" ref="H39:H43" si="27">AK23</f>
        <v>0.25</v>
      </c>
    </row>
    <row r="40" spans="1:8" x14ac:dyDescent="0.25">
      <c r="A40" s="9" t="s">
        <v>18</v>
      </c>
      <c r="B40" s="17">
        <f t="shared" si="22"/>
        <v>0</v>
      </c>
      <c r="C40" s="17">
        <f t="shared" si="23"/>
        <v>0</v>
      </c>
      <c r="D40" s="17">
        <f t="shared" si="24"/>
        <v>1</v>
      </c>
      <c r="E40" s="17">
        <f t="shared" si="25"/>
        <v>1.0178571428571428</v>
      </c>
      <c r="F40" s="17">
        <f t="shared" si="26"/>
        <v>0.2544642857142857</v>
      </c>
      <c r="G40" s="17"/>
      <c r="H40" s="17">
        <f t="shared" si="27"/>
        <v>0.2544642857142857</v>
      </c>
    </row>
    <row r="41" spans="1:8" x14ac:dyDescent="0.25">
      <c r="A41" s="9" t="s">
        <v>17</v>
      </c>
      <c r="B41" s="17">
        <f t="shared" si="22"/>
        <v>0</v>
      </c>
      <c r="C41" s="17">
        <f t="shared" si="23"/>
        <v>0</v>
      </c>
      <c r="D41" s="17" t="e">
        <f t="shared" si="24"/>
        <v>#REF!</v>
      </c>
      <c r="E41" s="17" t="e">
        <f t="shared" si="25"/>
        <v>#REF!</v>
      </c>
      <c r="F41" s="17" t="e">
        <f t="shared" si="26"/>
        <v>#REF!</v>
      </c>
      <c r="G41" s="17"/>
      <c r="H41" s="17" t="e">
        <f t="shared" si="27"/>
        <v>#REF!</v>
      </c>
    </row>
    <row r="42" spans="1:8" x14ac:dyDescent="0.25">
      <c r="A42" s="9" t="s">
        <v>16</v>
      </c>
      <c r="B42" s="17">
        <f t="shared" si="22"/>
        <v>0</v>
      </c>
      <c r="C42" s="17">
        <f t="shared" si="23"/>
        <v>0</v>
      </c>
      <c r="D42" s="17" t="e">
        <f t="shared" si="24"/>
        <v>#REF!</v>
      </c>
      <c r="E42" s="17" t="e">
        <f t="shared" si="25"/>
        <v>#REF!</v>
      </c>
      <c r="F42" s="17" t="e">
        <f t="shared" si="26"/>
        <v>#REF!</v>
      </c>
      <c r="G42" s="17"/>
      <c r="H42" s="17" t="e">
        <f t="shared" si="27"/>
        <v>#REF!</v>
      </c>
    </row>
    <row r="43" spans="1:8" x14ac:dyDescent="0.25">
      <c r="A43" s="9" t="s">
        <v>22</v>
      </c>
      <c r="B43" s="17">
        <f t="shared" si="22"/>
        <v>0</v>
      </c>
      <c r="C43" s="17">
        <f t="shared" si="23"/>
        <v>0</v>
      </c>
      <c r="D43" s="17" t="e">
        <f t="shared" si="24"/>
        <v>#REF!</v>
      </c>
      <c r="E43" s="17" t="e">
        <f t="shared" si="25"/>
        <v>#REF!</v>
      </c>
      <c r="F43" s="17" t="e">
        <f t="shared" si="26"/>
        <v>#REF!</v>
      </c>
      <c r="G43" s="17"/>
      <c r="H43" s="17" t="e">
        <f t="shared" si="27"/>
        <v>#REF!</v>
      </c>
    </row>
    <row r="44" spans="1:8" x14ac:dyDescent="0.25">
      <c r="A44" s="9" t="s">
        <v>26</v>
      </c>
    </row>
    <row r="45" spans="1:8" x14ac:dyDescent="0.25">
      <c r="A45" s="9" t="s">
        <v>27</v>
      </c>
    </row>
  </sheetData>
  <mergeCells count="6">
    <mergeCell ref="B1:E1"/>
    <mergeCell ref="AG1:AJ1"/>
    <mergeCell ref="Z1:AC1"/>
    <mergeCell ref="T1:W1"/>
    <mergeCell ref="N1:Q1"/>
    <mergeCell ref="H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Summary</vt: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Ashleigh Burne | Featherby Holdings</dc:creator>
  <cp:lastModifiedBy>David Fellowes</cp:lastModifiedBy>
  <cp:lastPrinted>2023-11-01T11:49:59Z</cp:lastPrinted>
  <dcterms:created xsi:type="dcterms:W3CDTF">2023-09-08T13:28:10Z</dcterms:created>
  <dcterms:modified xsi:type="dcterms:W3CDTF">2025-11-15T19:57:09Z</dcterms:modified>
</cp:coreProperties>
</file>